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TFs &amp; REITs" sheetId="2" state="visible" r:id="rId2"/>
    <sheet name="Stocks India" sheetId="3" state="visible" r:id="rId3"/>
    <sheet name="Mutual Funds" sheetId="4" state="visible" r:id="rId4"/>
    <sheet name="US Holdings" sheetId="5" state="visible" r:id="rId5"/>
    <sheet name="Swing &amp; Watchlist" sheetId="6" state="visible" r:id="rId6"/>
    <sheet name="Journal" sheetId="7" state="visible" r:id="rId7"/>
    <sheet name="Calc — Sizing &amp; RR" sheetId="8" state="visible" r:id="rId8"/>
    <sheet name="Fath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+0.00;-0.00"/>
    <numFmt numFmtId="165" formatCode="+0.0;-0.0"/>
    <numFmt numFmtId="166" formatCode="0.000"/>
    <numFmt numFmtId="167" formatCode="+0.0%;-0.0%"/>
    <numFmt numFmtId="168" formatCode="0.0"/>
    <numFmt numFmtId="169" formatCode="0.0%"/>
  </numFmts>
  <fonts count="1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color rgb="0015803D"/>
    </font>
    <font>
      <color rgb="006B7280"/>
      <sz val="9"/>
    </font>
    <font>
      <color rgb="00B91C1C"/>
    </font>
    <font>
      <b val="1"/>
    </font>
    <font>
      <b val="1"/>
      <color rgb="0015803D"/>
    </font>
    <font>
      <b val="1"/>
      <sz val="14"/>
    </font>
    <font>
      <sz val="10"/>
    </font>
    <font>
      <b val="1"/>
      <sz val="10"/>
    </font>
    <font>
      <b val="1"/>
      <sz val="9"/>
    </font>
    <font>
      <b val="1"/>
      <sz val="16"/>
    </font>
  </fonts>
  <fills count="9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FEF9C3"/>
      </patternFill>
    </fill>
    <fill>
      <patternFill patternType="solid">
        <fgColor rgb="00F0F9FF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3" fillId="0" borderId="1" pivotButton="0" quotePrefix="0" xfId="0"/>
    <xf numFmtId="0" fontId="6" fillId="0" borderId="0" pivotButton="0" quotePrefix="0" xfId="0"/>
    <xf numFmtId="3" fontId="6" fillId="0" borderId="0" pivotButton="0" quotePrefix="0" xfId="0"/>
    <xf numFmtId="3" fontId="3" fillId="0" borderId="0" pivotButton="0" quotePrefix="0" xfId="0"/>
    <xf numFmtId="3" fontId="0" fillId="0" borderId="0" pivotButton="0" quotePrefix="0" xfId="0"/>
    <xf numFmtId="3" fontId="5" fillId="0" borderId="0" pivotButton="0" quotePrefix="0" xfId="0"/>
    <xf numFmtId="4" fontId="0" fillId="0" borderId="1" pivotButton="0" quotePrefix="0" xfId="0"/>
    <xf numFmtId="164" fontId="0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3" fontId="7" fillId="0" borderId="0" pivotButton="0" quotePrefix="0" xfId="0"/>
    <xf numFmtId="165" fontId="3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4" fontId="0" fillId="4" borderId="1" pivotButton="0" quotePrefix="0" xfId="0"/>
    <xf numFmtId="3" fontId="0" fillId="4" borderId="1" pivotButton="0" quotePrefix="0" xfId="0"/>
    <xf numFmtId="168" fontId="0" fillId="4" borderId="1" pivotButton="0" quotePrefix="0" xfId="0"/>
    <xf numFmtId="4" fontId="0" fillId="5" borderId="1" pivotButton="0" quotePrefix="0" xfId="0"/>
    <xf numFmtId="10" fontId="0" fillId="5" borderId="1" pivotButton="0" quotePrefix="0" xfId="0"/>
    <xf numFmtId="3" fontId="0" fillId="5" borderId="1" pivotButton="0" quotePrefix="0" xfId="0"/>
    <xf numFmtId="169" fontId="0" fillId="5" borderId="1" pivotButton="0" quotePrefix="0" xfId="0"/>
    <xf numFmtId="0" fontId="2" fillId="3" borderId="0" pivotButton="0" quotePrefix="0" xfId="0"/>
    <xf numFmtId="1" fontId="0" fillId="4" borderId="1" pivotButton="0" quotePrefix="0" xfId="0"/>
    <xf numFmtId="2" fontId="0" fillId="5" borderId="1" pivotButton="0" quotePrefix="0" xfId="0"/>
    <xf numFmtId="0" fontId="10" fillId="0" borderId="0" pivotButton="0" quotePrefix="0" xfId="0"/>
    <xf numFmtId="0" fontId="11" fillId="6" borderId="1" pivotButton="0" quotePrefix="0" xfId="0"/>
    <xf numFmtId="0" fontId="11" fillId="7" borderId="1" pivotButton="0" quotePrefix="0" xfId="0"/>
    <xf numFmtId="0" fontId="11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PORTFOLIO DASHBOARD</t>
        </is>
      </c>
    </row>
    <row r="2">
      <c r="A2" s="2" t="inlineStr">
        <is>
          <t>Generated 2026-08-20 04:57  |  USD/INR 95.0  |  prices: override file (2026-08-12T10:29:00+00:00), yfinance off</t>
        </is>
      </c>
    </row>
    <row r="4">
      <c r="A4" s="3" t="inlineStr">
        <is>
          <t>My Portfolio</t>
        </is>
      </c>
    </row>
    <row r="5">
      <c r="A5" s="4" t="inlineStr">
        <is>
          <t>Bucket</t>
        </is>
      </c>
      <c r="B5" s="4" t="inlineStr">
        <is>
          <t>Invested ₹</t>
        </is>
      </c>
      <c r="C5" s="4" t="inlineStr">
        <is>
          <t>Value ₹</t>
        </is>
      </c>
      <c r="D5" s="4" t="inlineStr">
        <is>
          <t>P&amp;L ₹</t>
        </is>
      </c>
    </row>
    <row r="6">
      <c r="A6" s="5" t="inlineStr">
        <is>
          <t>ETFs &amp; REITs (IN)</t>
        </is>
      </c>
      <c r="B6" s="6" t="n">
        <v>1103051.85</v>
      </c>
      <c r="C6" s="6" t="n">
        <v>1210969.18</v>
      </c>
      <c r="D6" s="7" t="n">
        <v>107917.3300000001</v>
      </c>
    </row>
    <row r="7">
      <c r="A7" s="5" t="inlineStr">
        <is>
          <t>Stocks (IN)</t>
        </is>
      </c>
      <c r="B7" s="6" t="n">
        <v>27956.34</v>
      </c>
      <c r="C7" s="6" t="n">
        <v>46534.5</v>
      </c>
      <c r="D7" s="7" t="n">
        <v>18578.16</v>
      </c>
    </row>
    <row r="8">
      <c r="A8" s="5" t="inlineStr">
        <is>
          <t>Mutual Funds</t>
        </is>
      </c>
      <c r="B8" s="6" t="n">
        <v>876489</v>
      </c>
      <c r="C8" s="6" t="n">
        <v>940383</v>
      </c>
      <c r="D8" s="7" t="n">
        <v>63894</v>
      </c>
    </row>
    <row r="9">
      <c r="A9" s="5" t="inlineStr">
        <is>
          <t>US Holdings</t>
        </is>
      </c>
      <c r="B9" s="6" t="n">
        <v>1153488.284461557</v>
      </c>
      <c r="C9" s="6" t="n">
        <v>1153488.284461557</v>
      </c>
      <c r="D9" s="7" t="n">
        <v>0</v>
      </c>
    </row>
    <row r="10">
      <c r="A10" s="5" t="inlineStr">
        <is>
          <t>Zerodha cash</t>
        </is>
      </c>
      <c r="B10" s="6" t="n">
        <v>142426</v>
      </c>
      <c r="C10" s="6" t="n">
        <v>142426</v>
      </c>
      <c r="D10" s="7" t="n">
        <v>0</v>
      </c>
    </row>
    <row r="11">
      <c r="A11" s="8" t="inlineStr">
        <is>
          <t>TOTAL</t>
        </is>
      </c>
      <c r="B11" s="9" t="n">
        <v>3303411.474461557</v>
      </c>
      <c r="C11" s="9" t="n">
        <v>3493800.964461558</v>
      </c>
      <c r="D11" s="10" t="n">
        <v>190389.4900000002</v>
      </c>
    </row>
    <row r="13">
      <c r="A13" s="3" t="inlineStr">
        <is>
          <t>Father's Portfolio (see Father tab)</t>
        </is>
      </c>
    </row>
    <row r="14">
      <c r="A14" t="inlineStr">
        <is>
          <t>Current value</t>
        </is>
      </c>
      <c r="B14" s="11" t="n">
        <v>6356450</v>
      </c>
    </row>
    <row r="15">
      <c r="A15" t="inlineStr">
        <is>
          <t>Invested</t>
        </is>
      </c>
      <c r="B15" s="11" t="n">
        <v>6893503</v>
      </c>
    </row>
    <row r="16">
      <c r="A16" t="inlineStr">
        <is>
          <t>P&amp;L</t>
        </is>
      </c>
      <c r="B16" s="12" t="n">
        <v>-537053</v>
      </c>
    </row>
  </sheetData>
  <mergeCells count="2">
    <mergeCell ref="A4:D4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11" customWidth="1" min="4" max="4"/>
    <col width="11" customWidth="1" min="5" max="5"/>
    <col width="8" customWidth="1" min="6" max="6"/>
    <col width="13" customWidth="1" min="7" max="7"/>
    <col width="13" customWidth="1" min="8" max="8"/>
    <col width="12" customWidth="1" min="9" max="9"/>
    <col width="9" customWidth="1" min="10" max="10"/>
    <col width="9" customWidth="1" min="11" max="11"/>
  </cols>
  <sheetData>
    <row r="1">
      <c r="A1" s="3" t="inlineStr">
        <is>
          <t>Zerodha — ETFs</t>
        </is>
      </c>
    </row>
    <row r="2">
      <c r="A2" s="4" t="inlineStr">
        <is>
          <t>Symbol</t>
        </is>
      </c>
      <c r="B2" s="4" t="inlineStr">
        <is>
          <t>Name</t>
        </is>
      </c>
      <c r="C2" s="4" t="inlineStr">
        <is>
          <t>Qty</t>
        </is>
      </c>
      <c r="D2" s="4" t="inlineStr">
        <is>
          <t>Avg Cost</t>
        </is>
      </c>
      <c r="E2" s="4" t="inlineStr">
        <is>
          <t>LTP</t>
        </is>
      </c>
      <c r="F2" s="4" t="inlineStr">
        <is>
          <t>Day %</t>
        </is>
      </c>
      <c r="G2" s="4" t="inlineStr">
        <is>
          <t>Invested</t>
        </is>
      </c>
      <c r="H2" s="4" t="inlineStr">
        <is>
          <t>Value</t>
        </is>
      </c>
      <c r="I2" s="4" t="inlineStr">
        <is>
          <t>P&amp;L</t>
        </is>
      </c>
      <c r="J2" s="4" t="inlineStr">
        <is>
          <t>P&amp;L %</t>
        </is>
      </c>
      <c r="K2" s="4" t="inlineStr">
        <is>
          <t>Price Src</t>
        </is>
      </c>
    </row>
    <row r="3">
      <c r="A3" s="5" t="inlineStr">
        <is>
          <t>NIFTYBEES</t>
        </is>
      </c>
      <c r="B3" s="5" t="inlineStr">
        <is>
          <t>Nippon Nifty 50 ETF</t>
        </is>
      </c>
      <c r="C3" s="5" t="n">
        <v>546</v>
      </c>
      <c r="D3" s="13" t="n">
        <v>270.86</v>
      </c>
      <c r="E3" s="13" t="n">
        <v>278.32</v>
      </c>
      <c r="F3" s="14" t="n">
        <v>-0.29</v>
      </c>
      <c r="G3" s="13" t="n">
        <v>147889.56</v>
      </c>
      <c r="H3" s="13" t="n">
        <v>151962.72</v>
      </c>
      <c r="I3" s="15" t="n">
        <v>4073.160000000003</v>
      </c>
      <c r="J3" s="16" t="n">
        <v>2.75419035664181</v>
      </c>
      <c r="K3" s="17" t="inlineStr">
        <is>
          <t>override</t>
        </is>
      </c>
    </row>
    <row r="4">
      <c r="A4" s="5" t="inlineStr">
        <is>
          <t>BANKBEES</t>
        </is>
      </c>
      <c r="B4" s="5" t="inlineStr">
        <is>
          <t>Nippon Bank ETF</t>
        </is>
      </c>
      <c r="C4" s="5" t="n">
        <v>199</v>
      </c>
      <c r="D4" s="13" t="n">
        <v>569.98</v>
      </c>
      <c r="E4" s="13" t="n">
        <v>599.01</v>
      </c>
      <c r="F4" s="14" t="n">
        <v>0.7</v>
      </c>
      <c r="G4" s="13" t="n">
        <v>113426.02</v>
      </c>
      <c r="H4" s="13" t="n">
        <v>119202.99</v>
      </c>
      <c r="I4" s="15" t="n">
        <v>5776.970000000001</v>
      </c>
      <c r="J4" s="16" t="n">
        <v>5.093161163549599</v>
      </c>
      <c r="K4" s="17" t="inlineStr">
        <is>
          <t>override</t>
        </is>
      </c>
    </row>
    <row r="5">
      <c r="A5" s="5" t="inlineStr">
        <is>
          <t>JUNIORBEES</t>
        </is>
      </c>
      <c r="B5" s="5" t="inlineStr">
        <is>
          <t>Nippon Nifty Next 50 ETF</t>
        </is>
      </c>
      <c r="C5" s="5" t="n">
        <v>128</v>
      </c>
      <c r="D5" s="13" t="n">
        <v>727.95</v>
      </c>
      <c r="E5" s="13" t="n">
        <v>806.3099999999999</v>
      </c>
      <c r="F5" s="14" t="n">
        <v>-0.17</v>
      </c>
      <c r="G5" s="13" t="n">
        <v>93177.60000000001</v>
      </c>
      <c r="H5" s="13" t="n">
        <v>103207.68</v>
      </c>
      <c r="I5" s="15" t="n">
        <v>10030.07999999999</v>
      </c>
      <c r="J5" s="16" t="n">
        <v>10.76447558211414</v>
      </c>
      <c r="K5" s="17" t="inlineStr">
        <is>
          <t>override</t>
        </is>
      </c>
    </row>
    <row r="6">
      <c r="A6" s="5" t="inlineStr">
        <is>
          <t>SILVERBEES</t>
        </is>
      </c>
      <c r="B6" s="5" t="inlineStr">
        <is>
          <t>Nippon Silver ETF</t>
        </is>
      </c>
      <c r="C6" s="5" t="n">
        <v>282</v>
      </c>
      <c r="D6" s="13" t="n">
        <v>238.61</v>
      </c>
      <c r="E6" s="13" t="n">
        <v>225.76</v>
      </c>
      <c r="F6" s="14" t="n">
        <v>1.55</v>
      </c>
      <c r="G6" s="13" t="n">
        <v>67288.02</v>
      </c>
      <c r="H6" s="13" t="n">
        <v>63664.32</v>
      </c>
      <c r="I6" s="18" t="n">
        <v>-3623.700000000004</v>
      </c>
      <c r="J6" s="19" t="n">
        <v>-5.385356858471989</v>
      </c>
      <c r="K6" s="17" t="inlineStr">
        <is>
          <t>override</t>
        </is>
      </c>
    </row>
    <row r="7">
      <c r="A7" s="5" t="inlineStr">
        <is>
          <t>MID150BEES</t>
        </is>
      </c>
      <c r="B7" s="5" t="inlineStr">
        <is>
          <t>Nippon Midcap 150 ETF</t>
        </is>
      </c>
      <c r="C7" s="5" t="n">
        <v>245</v>
      </c>
      <c r="D7" s="13" t="n">
        <v>220.41</v>
      </c>
      <c r="E7" s="13" t="n">
        <v>242.77</v>
      </c>
      <c r="F7" s="14" t="n">
        <v>-0.02</v>
      </c>
      <c r="G7" s="13" t="n">
        <v>54000.45</v>
      </c>
      <c r="H7" s="13" t="n">
        <v>59478.65</v>
      </c>
      <c r="I7" s="15" t="n">
        <v>5478.200000000004</v>
      </c>
      <c r="J7" s="16" t="n">
        <v>10.14473027539586</v>
      </c>
      <c r="K7" s="17" t="inlineStr">
        <is>
          <t>override</t>
        </is>
      </c>
    </row>
    <row r="8">
      <c r="A8" s="5" t="inlineStr">
        <is>
          <t>GOLDBEES</t>
        </is>
      </c>
      <c r="B8" s="5" t="inlineStr">
        <is>
          <t>Nippon Gold ETF</t>
        </is>
      </c>
      <c r="C8" s="5" t="n">
        <v>305</v>
      </c>
      <c r="D8" s="13" t="n">
        <v>121.21</v>
      </c>
      <c r="E8" s="13" t="n">
        <v>126.45</v>
      </c>
      <c r="F8" s="14" t="n">
        <v>0.74</v>
      </c>
      <c r="G8" s="13" t="n">
        <v>36969.05</v>
      </c>
      <c r="H8" s="13" t="n">
        <v>38567.25</v>
      </c>
      <c r="I8" s="15" t="n">
        <v>1598.200000000004</v>
      </c>
      <c r="J8" s="16" t="n">
        <v>4.323075653823954</v>
      </c>
      <c r="K8" s="17" t="inlineStr">
        <is>
          <t>override</t>
        </is>
      </c>
    </row>
    <row r="9">
      <c r="A9" s="5" t="inlineStr">
        <is>
          <t>ITBEES</t>
        </is>
      </c>
      <c r="B9" s="5" t="inlineStr">
        <is>
          <t>Nippon IT ETF</t>
        </is>
      </c>
      <c r="C9" s="5" t="n">
        <v>860</v>
      </c>
      <c r="D9" s="13" t="n">
        <v>32.68</v>
      </c>
      <c r="E9" s="13" t="n">
        <v>34.65</v>
      </c>
      <c r="F9" s="14" t="n">
        <v>-1.67</v>
      </c>
      <c r="G9" s="13" t="n">
        <v>28104.8</v>
      </c>
      <c r="H9" s="13" t="n">
        <v>29799</v>
      </c>
      <c r="I9" s="15" t="n">
        <v>1694.200000000001</v>
      </c>
      <c r="J9" s="16" t="n">
        <v>6.028151774785805</v>
      </c>
      <c r="K9" s="17" t="inlineStr">
        <is>
          <t>override</t>
        </is>
      </c>
    </row>
    <row r="10">
      <c r="A10" s="5" t="inlineStr">
        <is>
          <t>PSUBNKBEES</t>
        </is>
      </c>
      <c r="B10" s="5" t="inlineStr">
        <is>
          <t>Nippon PSU Bank ETF</t>
        </is>
      </c>
      <c r="C10" s="5" t="n">
        <v>220</v>
      </c>
      <c r="D10" s="13" t="n">
        <v>90.84</v>
      </c>
      <c r="E10" s="13" t="n">
        <v>98.27</v>
      </c>
      <c r="F10" s="14" t="n">
        <v>1.89</v>
      </c>
      <c r="G10" s="13" t="n">
        <v>19984.8</v>
      </c>
      <c r="H10" s="13" t="n">
        <v>21619.4</v>
      </c>
      <c r="I10" s="15" t="n">
        <v>1634.599999999999</v>
      </c>
      <c r="J10" s="16" t="n">
        <v>8.179216204315273</v>
      </c>
      <c r="K10" s="17" t="inlineStr">
        <is>
          <t>override</t>
        </is>
      </c>
    </row>
    <row r="11">
      <c r="B11" s="8" t="inlineStr">
        <is>
          <t>Subtotal</t>
        </is>
      </c>
      <c r="G11" s="9" t="n">
        <v>560840.3000000002</v>
      </c>
      <c r="H11" s="9" t="n">
        <v>587502.0100000001</v>
      </c>
      <c r="I11" s="20" t="n">
        <v>26661.70999999996</v>
      </c>
    </row>
    <row r="13">
      <c r="A13" s="3" t="inlineStr">
        <is>
          <t>Zerodha — REITs / InvITs</t>
        </is>
      </c>
    </row>
    <row r="14">
      <c r="A14" s="4" t="inlineStr">
        <is>
          <t>Symbol</t>
        </is>
      </c>
      <c r="B14" s="4" t="inlineStr">
        <is>
          <t>Name</t>
        </is>
      </c>
      <c r="C14" s="4" t="inlineStr">
        <is>
          <t>Qty</t>
        </is>
      </c>
      <c r="D14" s="4" t="inlineStr">
        <is>
          <t>Avg Cost</t>
        </is>
      </c>
      <c r="E14" s="4" t="inlineStr">
        <is>
          <t>LTP</t>
        </is>
      </c>
      <c r="F14" s="4" t="inlineStr">
        <is>
          <t>Day %</t>
        </is>
      </c>
      <c r="G14" s="4" t="inlineStr">
        <is>
          <t>Invested</t>
        </is>
      </c>
      <c r="H14" s="4" t="inlineStr">
        <is>
          <t>Value</t>
        </is>
      </c>
      <c r="I14" s="4" t="inlineStr">
        <is>
          <t>P&amp;L</t>
        </is>
      </c>
      <c r="J14" s="4" t="inlineStr">
        <is>
          <t>P&amp;L %</t>
        </is>
      </c>
      <c r="K14" s="4" t="inlineStr">
        <is>
          <t>Price Src</t>
        </is>
      </c>
    </row>
    <row r="15">
      <c r="A15" s="5" t="inlineStr">
        <is>
          <t>MINDSPACE-RR</t>
        </is>
      </c>
      <c r="B15" s="5" t="inlineStr">
        <is>
          <t>Mindspace REIT</t>
        </is>
      </c>
      <c r="C15" s="5" t="n">
        <v>131</v>
      </c>
      <c r="D15" s="13" t="n">
        <v>482.8</v>
      </c>
      <c r="E15" s="13" t="n">
        <v>494.68</v>
      </c>
      <c r="F15" s="14" t="n">
        <v>-0.18</v>
      </c>
      <c r="G15" s="13" t="n">
        <v>63246.8</v>
      </c>
      <c r="H15" s="13" t="n">
        <v>64803.08</v>
      </c>
      <c r="I15" s="15" t="n">
        <v>1556.279999999999</v>
      </c>
      <c r="J15" s="16" t="n">
        <v>2.460646230323114</v>
      </c>
      <c r="K15" s="17" t="inlineStr">
        <is>
          <t>override</t>
        </is>
      </c>
    </row>
    <row r="16">
      <c r="A16" s="5" t="inlineStr">
        <is>
          <t>EMBASSY</t>
        </is>
      </c>
      <c r="B16" s="5" t="inlineStr">
        <is>
          <t>Embassy Office REIT</t>
        </is>
      </c>
      <c r="C16" s="5" t="n">
        <v>116</v>
      </c>
      <c r="D16" s="13" t="n">
        <v>431.16</v>
      </c>
      <c r="E16" s="13" t="n">
        <v>439.47</v>
      </c>
      <c r="F16" s="14" t="n">
        <v>-0.11</v>
      </c>
      <c r="G16" s="13" t="n">
        <v>50014.56</v>
      </c>
      <c r="H16" s="13" t="n">
        <v>50978.52</v>
      </c>
      <c r="I16" s="15" t="n">
        <v>963.9599999999991</v>
      </c>
      <c r="J16" s="16" t="n">
        <v>1.927358753131086</v>
      </c>
      <c r="K16" s="17" t="inlineStr">
        <is>
          <t>override</t>
        </is>
      </c>
    </row>
    <row r="17">
      <c r="A17" s="5" t="inlineStr">
        <is>
          <t>BIRET</t>
        </is>
      </c>
      <c r="B17" s="5" t="inlineStr">
        <is>
          <t>Birla Estate REIT</t>
        </is>
      </c>
      <c r="C17" s="5" t="n">
        <v>143</v>
      </c>
      <c r="D17" s="13" t="n">
        <v>328.74</v>
      </c>
      <c r="E17" s="13" t="n">
        <v>345.68</v>
      </c>
      <c r="F17" s="14" t="n">
        <v>0.21</v>
      </c>
      <c r="G17" s="13" t="n">
        <v>47009.82</v>
      </c>
      <c r="H17" s="13" t="n">
        <v>49432.24</v>
      </c>
      <c r="I17" s="15" t="n">
        <v>2422.419999999998</v>
      </c>
      <c r="J17" s="16" t="n">
        <v>5.153008456530993</v>
      </c>
      <c r="K17" s="17" t="inlineStr">
        <is>
          <t>override</t>
        </is>
      </c>
    </row>
    <row r="18">
      <c r="A18" s="5" t="inlineStr">
        <is>
          <t>NXST</t>
        </is>
      </c>
      <c r="B18" s="5" t="inlineStr">
        <is>
          <t>Nexus Select Trust REIT</t>
        </is>
      </c>
      <c r="C18" s="5" t="n">
        <v>244</v>
      </c>
      <c r="D18" s="13" t="n">
        <v>156.01</v>
      </c>
      <c r="E18" s="13" t="n">
        <v>166.93</v>
      </c>
      <c r="F18" s="14" t="n">
        <v>-0.88</v>
      </c>
      <c r="G18" s="13" t="n">
        <v>38066.44</v>
      </c>
      <c r="H18" s="13" t="n">
        <v>40730.92</v>
      </c>
      <c r="I18" s="15" t="n">
        <v>2664.480000000003</v>
      </c>
      <c r="J18" s="16" t="n">
        <v>6.999551310813419</v>
      </c>
      <c r="K18" s="17" t="inlineStr">
        <is>
          <t>override</t>
        </is>
      </c>
    </row>
    <row r="19">
      <c r="A19" s="5" t="inlineStr">
        <is>
          <t>KRT-RR</t>
        </is>
      </c>
      <c r="B19" s="5" t="inlineStr">
        <is>
          <t>Kreditbee RR</t>
        </is>
      </c>
      <c r="C19" s="5" t="n">
        <v>288</v>
      </c>
      <c r="D19" s="13" t="n">
        <v>119.91</v>
      </c>
      <c r="E19" s="13" t="n">
        <v>117</v>
      </c>
      <c r="F19" s="14" t="n"/>
      <c r="G19" s="13" t="n">
        <v>34534.08</v>
      </c>
      <c r="H19" s="13" t="n">
        <v>33696</v>
      </c>
      <c r="I19" s="18" t="n">
        <v>-838.0800000000017</v>
      </c>
      <c r="J19" s="19" t="n">
        <v>-2.42682011508632</v>
      </c>
      <c r="K19" s="17" t="inlineStr">
        <is>
          <t>cached</t>
        </is>
      </c>
    </row>
    <row r="20">
      <c r="B20" s="8" t="inlineStr">
        <is>
          <t>Subtotal</t>
        </is>
      </c>
      <c r="G20" s="9" t="n">
        <v>232871.7</v>
      </c>
      <c r="H20" s="9" t="n">
        <v>239640.76</v>
      </c>
      <c r="I20" s="20" t="n">
        <v>6769.059999999998</v>
      </c>
    </row>
    <row r="22">
      <c r="A22" s="3" t="inlineStr">
        <is>
          <t>HDFC Securities — ETFs</t>
        </is>
      </c>
    </row>
    <row r="23">
      <c r="A23" s="4" t="inlineStr">
        <is>
          <t>Symbol</t>
        </is>
      </c>
      <c r="B23" s="4" t="inlineStr">
        <is>
          <t>Name</t>
        </is>
      </c>
      <c r="C23" s="4" t="inlineStr">
        <is>
          <t>Qty</t>
        </is>
      </c>
      <c r="D23" s="4" t="inlineStr">
        <is>
          <t>Avg Cost</t>
        </is>
      </c>
      <c r="E23" s="4" t="inlineStr">
        <is>
          <t>LTP</t>
        </is>
      </c>
      <c r="F23" s="4" t="inlineStr">
        <is>
          <t>Day %</t>
        </is>
      </c>
      <c r="G23" s="4" t="inlineStr">
        <is>
          <t>Invested</t>
        </is>
      </c>
      <c r="H23" s="4" t="inlineStr">
        <is>
          <t>Value</t>
        </is>
      </c>
      <c r="I23" s="4" t="inlineStr">
        <is>
          <t>P&amp;L</t>
        </is>
      </c>
      <c r="J23" s="4" t="inlineStr">
        <is>
          <t>P&amp;L %</t>
        </is>
      </c>
      <c r="K23" s="4" t="inlineStr">
        <is>
          <t>Price Src</t>
        </is>
      </c>
    </row>
    <row r="24">
      <c r="A24" s="5" t="inlineStr">
        <is>
          <t>NIFTYBEES</t>
        </is>
      </c>
      <c r="B24" s="5" t="inlineStr">
        <is>
          <t>Nippon Nifty 50 BeES</t>
        </is>
      </c>
      <c r="C24" s="5" t="n">
        <v>307</v>
      </c>
      <c r="D24" s="13" t="n">
        <v>271.26</v>
      </c>
      <c r="E24" s="13" t="n">
        <v>278.32</v>
      </c>
      <c r="F24" s="14" t="n">
        <v>-0.29</v>
      </c>
      <c r="G24" s="13" t="n">
        <v>83276.81999999999</v>
      </c>
      <c r="H24" s="13" t="n">
        <v>85444.23999999999</v>
      </c>
      <c r="I24" s="15" t="n">
        <v>2167.419999999998</v>
      </c>
      <c r="J24" s="16" t="n">
        <v>2.602669026026688</v>
      </c>
      <c r="K24" s="17" t="inlineStr">
        <is>
          <t>override</t>
        </is>
      </c>
    </row>
    <row r="25">
      <c r="A25" s="5" t="inlineStr">
        <is>
          <t>JUNIORBEES</t>
        </is>
      </c>
      <c r="B25" s="5" t="inlineStr">
        <is>
          <t>Nippon Nifty Next 50 BeES</t>
        </is>
      </c>
      <c r="C25" s="5" t="n">
        <v>93</v>
      </c>
      <c r="D25" s="13" t="n">
        <v>718.3</v>
      </c>
      <c r="E25" s="13" t="n">
        <v>806.3099999999999</v>
      </c>
      <c r="F25" s="14" t="n">
        <v>-0.17</v>
      </c>
      <c r="G25" s="13" t="n">
        <v>66801.89999999999</v>
      </c>
      <c r="H25" s="13" t="n">
        <v>74986.83</v>
      </c>
      <c r="I25" s="15" t="n">
        <v>8184.930000000008</v>
      </c>
      <c r="J25" s="16" t="n">
        <v>12.25254072114716</v>
      </c>
      <c r="K25" s="17" t="inlineStr">
        <is>
          <t>override</t>
        </is>
      </c>
    </row>
    <row r="26">
      <c r="A26" s="5" t="inlineStr">
        <is>
          <t>GOLDBEES</t>
        </is>
      </c>
      <c r="B26" s="5" t="inlineStr">
        <is>
          <t>Nippon Gold BeES</t>
        </is>
      </c>
      <c r="C26" s="5" t="n">
        <v>550</v>
      </c>
      <c r="D26" s="13" t="n">
        <v>90.89</v>
      </c>
      <c r="E26" s="13" t="n">
        <v>126.45</v>
      </c>
      <c r="F26" s="14" t="n">
        <v>0.74</v>
      </c>
      <c r="G26" s="13" t="n">
        <v>49989.5</v>
      </c>
      <c r="H26" s="13" t="n">
        <v>69547.5</v>
      </c>
      <c r="I26" s="15" t="n">
        <v>19558</v>
      </c>
      <c r="J26" s="16" t="n">
        <v>39.12421608537792</v>
      </c>
      <c r="K26" s="17" t="inlineStr">
        <is>
          <t>override</t>
        </is>
      </c>
    </row>
    <row r="27">
      <c r="A27" s="5" t="inlineStr">
        <is>
          <t>SILVERBEES</t>
        </is>
      </c>
      <c r="B27" s="5" t="inlineStr">
        <is>
          <t>Nippon Silver ETF</t>
        </is>
      </c>
      <c r="C27" s="5" t="n">
        <v>475</v>
      </c>
      <c r="D27" s="13" t="n">
        <v>141.77</v>
      </c>
      <c r="E27" s="13" t="n">
        <v>225.76</v>
      </c>
      <c r="F27" s="14" t="n">
        <v>1.55</v>
      </c>
      <c r="G27" s="13" t="n">
        <v>67340.75</v>
      </c>
      <c r="H27" s="13" t="n">
        <v>107236</v>
      </c>
      <c r="I27" s="15" t="n">
        <v>39895.25</v>
      </c>
      <c r="J27" s="16" t="n">
        <v>59.24384566551456</v>
      </c>
      <c r="K27" s="17" t="inlineStr">
        <is>
          <t>override</t>
        </is>
      </c>
    </row>
    <row r="28">
      <c r="A28" s="5" t="inlineStr">
        <is>
          <t>MID150BEES</t>
        </is>
      </c>
      <c r="B28" s="5" t="inlineStr">
        <is>
          <t>Nippon Midcap 150 BeES</t>
        </is>
      </c>
      <c r="C28" s="5" t="n">
        <v>192</v>
      </c>
      <c r="D28" s="13" t="n">
        <v>218.39</v>
      </c>
      <c r="E28" s="13" t="n">
        <v>242.77</v>
      </c>
      <c r="F28" s="14" t="n">
        <v>-0.02</v>
      </c>
      <c r="G28" s="13" t="n">
        <v>41930.88</v>
      </c>
      <c r="H28" s="13" t="n">
        <v>46611.84</v>
      </c>
      <c r="I28" s="15" t="n">
        <v>4680.960000000006</v>
      </c>
      <c r="J28" s="16" t="n">
        <v>11.16351481294933</v>
      </c>
      <c r="K28" s="17" t="inlineStr">
        <is>
          <t>override</t>
        </is>
      </c>
    </row>
    <row r="29">
      <c r="B29" s="8" t="inlineStr">
        <is>
          <t>Subtotal</t>
        </is>
      </c>
      <c r="G29" s="9" t="n">
        <v>309339.85</v>
      </c>
      <c r="H29" s="9" t="n">
        <v>383826.41</v>
      </c>
      <c r="I29" s="20" t="n">
        <v>74486.56000000006</v>
      </c>
    </row>
  </sheetData>
  <mergeCells count="3">
    <mergeCell ref="A22:K22"/>
    <mergeCell ref="A1:K1"/>
    <mergeCell ref="A13:K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11" customWidth="1" min="4" max="4"/>
    <col width="11" customWidth="1" min="5" max="5"/>
    <col width="8" customWidth="1" min="6" max="6"/>
    <col width="13" customWidth="1" min="7" max="7"/>
    <col width="13" customWidth="1" min="8" max="8"/>
    <col width="12" customWidth="1" min="9" max="9"/>
    <col width="9" customWidth="1" min="10" max="10"/>
    <col width="9" customWidth="1" min="11" max="11"/>
  </cols>
  <sheetData>
    <row r="1">
      <c r="A1" s="3" t="inlineStr">
        <is>
          <t>HDFC Securities — Stocks</t>
        </is>
      </c>
    </row>
    <row r="2">
      <c r="A2" s="4" t="inlineStr">
        <is>
          <t>Symbol</t>
        </is>
      </c>
      <c r="B2" s="4" t="inlineStr">
        <is>
          <t>Name</t>
        </is>
      </c>
      <c r="C2" s="4" t="inlineStr">
        <is>
          <t>Qty</t>
        </is>
      </c>
      <c r="D2" s="4" t="inlineStr">
        <is>
          <t>Avg Cost</t>
        </is>
      </c>
      <c r="E2" s="4" t="inlineStr">
        <is>
          <t>LTP</t>
        </is>
      </c>
      <c r="F2" s="4" t="inlineStr">
        <is>
          <t>Day %</t>
        </is>
      </c>
      <c r="G2" s="4" t="inlineStr">
        <is>
          <t>Invested</t>
        </is>
      </c>
      <c r="H2" s="4" t="inlineStr">
        <is>
          <t>Value</t>
        </is>
      </c>
      <c r="I2" s="4" t="inlineStr">
        <is>
          <t>P&amp;L</t>
        </is>
      </c>
      <c r="J2" s="4" t="inlineStr">
        <is>
          <t>P&amp;L %</t>
        </is>
      </c>
      <c r="K2" s="4" t="inlineStr">
        <is>
          <t>Price Src</t>
        </is>
      </c>
    </row>
    <row r="3">
      <c r="A3" s="5" t="inlineStr">
        <is>
          <t>HINDALCO</t>
        </is>
      </c>
      <c r="B3" s="5" t="inlineStr">
        <is>
          <t>Hindalco Industries</t>
        </is>
      </c>
      <c r="C3" s="5" t="n">
        <v>23</v>
      </c>
      <c r="D3" s="13" t="n">
        <v>662.4299999999999</v>
      </c>
      <c r="E3" s="13" t="n">
        <v>1078.5</v>
      </c>
      <c r="F3" s="14" t="n">
        <v>2.8</v>
      </c>
      <c r="G3" s="13" t="n">
        <v>15235.89</v>
      </c>
      <c r="H3" s="13" t="n">
        <v>24805.5</v>
      </c>
      <c r="I3" s="15" t="n">
        <v>9569.610000000001</v>
      </c>
      <c r="J3" s="16" t="n">
        <v>62.80965535981161</v>
      </c>
      <c r="K3" s="17" t="inlineStr">
        <is>
          <t>override</t>
        </is>
      </c>
    </row>
    <row r="4">
      <c r="A4" s="5" t="inlineStr">
        <is>
          <t>SONACOMS</t>
        </is>
      </c>
      <c r="B4" s="5" t="inlineStr">
        <is>
          <t>Sona BLW Precision</t>
        </is>
      </c>
      <c r="C4" s="5" t="n">
        <v>15</v>
      </c>
      <c r="D4" s="13" t="n">
        <v>477.34</v>
      </c>
      <c r="E4" s="13" t="n">
        <v>804.5</v>
      </c>
      <c r="F4" s="14" t="n">
        <v>0.5600000000000001</v>
      </c>
      <c r="G4" s="13" t="n">
        <v>7160.099999999999</v>
      </c>
      <c r="H4" s="13" t="n">
        <v>12067.5</v>
      </c>
      <c r="I4" s="15" t="n">
        <v>4907.400000000001</v>
      </c>
      <c r="J4" s="16" t="n">
        <v>68.53814890853481</v>
      </c>
      <c r="K4" s="17" t="inlineStr">
        <is>
          <t>override</t>
        </is>
      </c>
    </row>
    <row r="5">
      <c r="A5" s="5" t="inlineStr">
        <is>
          <t>MOTHERSON</t>
        </is>
      </c>
      <c r="B5" s="5" t="inlineStr">
        <is>
          <t>Samvardhana Motherson</t>
        </is>
      </c>
      <c r="C5" s="5" t="n">
        <v>57</v>
      </c>
      <c r="D5" s="13" t="n">
        <v>97.55</v>
      </c>
      <c r="E5" s="13" t="n">
        <v>169.5</v>
      </c>
      <c r="F5" s="14" t="n">
        <v>0.14</v>
      </c>
      <c r="G5" s="13" t="n">
        <v>5560.349999999999</v>
      </c>
      <c r="H5" s="13" t="n">
        <v>9661.5</v>
      </c>
      <c r="I5" s="15" t="n">
        <v>4101.150000000001</v>
      </c>
      <c r="J5" s="16" t="n">
        <v>73.75704766786265</v>
      </c>
      <c r="K5" s="17" t="inlineStr">
        <is>
          <t>override</t>
        </is>
      </c>
    </row>
    <row r="6">
      <c r="B6" s="8" t="inlineStr">
        <is>
          <t>Subtotal</t>
        </is>
      </c>
      <c r="G6" s="9" t="n">
        <v>27956.34</v>
      </c>
      <c r="H6" s="9" t="n">
        <v>46534.5</v>
      </c>
      <c r="I6" s="20" t="n">
        <v>18578.16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11" customWidth="1" min="4" max="4"/>
    <col width="11" customWidth="1" min="5" max="5"/>
    <col width="10" customWidth="1" min="6" max="6"/>
    <col width="8" customWidth="1" min="7" max="7"/>
    <col width="13" customWidth="1" min="8" max="8"/>
  </cols>
  <sheetData>
    <row r="1">
      <c r="A1" s="3" t="inlineStr">
        <is>
          <t>Mutual Funds (NAV as of last INDmoney sync — refresh via app export)</t>
        </is>
      </c>
    </row>
    <row r="2">
      <c r="A2" s="4" t="inlineStr">
        <is>
          <t>Fund</t>
        </is>
      </c>
      <c r="B2" s="4" t="inlineStr">
        <is>
          <t>Units</t>
        </is>
      </c>
      <c r="C2" s="4" t="inlineStr">
        <is>
          <t>NAV</t>
        </is>
      </c>
      <c r="D2" s="4" t="inlineStr">
        <is>
          <t>Invested</t>
        </is>
      </c>
      <c r="E2" s="4" t="inlineStr">
        <is>
          <t>Current</t>
        </is>
      </c>
      <c r="F2" s="4" t="inlineStr">
        <is>
          <t>P&amp;L</t>
        </is>
      </c>
      <c r="G2" s="4" t="inlineStr">
        <is>
          <t>P&amp;L %</t>
        </is>
      </c>
      <c r="H2" s="4" t="inlineStr">
        <is>
          <t>Via</t>
        </is>
      </c>
    </row>
    <row r="3">
      <c r="A3" s="5" t="inlineStr">
        <is>
          <t>Bandhan Small Cap - Regular</t>
        </is>
      </c>
      <c r="B3" s="13" t="n">
        <v>4036.08</v>
      </c>
      <c r="C3" s="13" t="n">
        <v>51.691</v>
      </c>
      <c r="D3" s="6" t="n">
        <v>187500</v>
      </c>
      <c r="E3" s="6" t="n">
        <v>208629</v>
      </c>
      <c r="F3" s="7" t="n">
        <v>21129</v>
      </c>
      <c r="G3" s="21" t="n">
        <v>11.2688</v>
      </c>
      <c r="H3" s="5" t="inlineStr">
        <is>
          <t>Naik Wealth</t>
        </is>
      </c>
    </row>
    <row r="4">
      <c r="A4" s="5" t="inlineStr">
        <is>
          <t>Kotak Large &amp; Midcap - Regular</t>
        </is>
      </c>
      <c r="B4" s="13" t="n">
        <v>511.965</v>
      </c>
      <c r="C4" s="13" t="n">
        <v>357.374</v>
      </c>
      <c r="D4" s="6" t="n">
        <v>175000</v>
      </c>
      <c r="E4" s="6" t="n">
        <v>182963</v>
      </c>
      <c r="F4" s="7" t="n">
        <v>7963</v>
      </c>
      <c r="G4" s="21" t="n">
        <v>4.550285714285715</v>
      </c>
      <c r="H4" s="5" t="inlineStr">
        <is>
          <t>Naik Wealth</t>
        </is>
      </c>
    </row>
    <row r="5">
      <c r="A5" s="5" t="inlineStr">
        <is>
          <t>Nippon India Multi Cap - Regular</t>
        </is>
      </c>
      <c r="B5" s="13" t="n">
        <v>548.3819999999999</v>
      </c>
      <c r="C5" s="13" t="n">
        <v>308.1499</v>
      </c>
      <c r="D5" s="6" t="n">
        <v>162500</v>
      </c>
      <c r="E5" s="6" t="n">
        <v>168984</v>
      </c>
      <c r="F5" s="7" t="n">
        <v>6484</v>
      </c>
      <c r="G5" s="21" t="n">
        <v>3.990153846153846</v>
      </c>
      <c r="H5" s="5" t="inlineStr">
        <is>
          <t>Naik Wealth</t>
        </is>
      </c>
    </row>
    <row r="6">
      <c r="A6" s="5" t="inlineStr">
        <is>
          <t>Invesco India Mid Cap - Regular</t>
        </is>
      </c>
      <c r="B6" s="13" t="n">
        <v>564.802</v>
      </c>
      <c r="C6" s="13" t="n">
        <v>199.97</v>
      </c>
      <c r="D6" s="6" t="n">
        <v>100000</v>
      </c>
      <c r="E6" s="6" t="n">
        <v>112943</v>
      </c>
      <c r="F6" s="7" t="n">
        <v>12944</v>
      </c>
      <c r="G6" s="21" t="n">
        <v>12.944</v>
      </c>
      <c r="H6" s="5" t="inlineStr">
        <is>
          <t>Naik Wealth</t>
        </is>
      </c>
    </row>
    <row r="7">
      <c r="A7" s="5" t="inlineStr">
        <is>
          <t>Invesco India Mid Cap - Direct</t>
        </is>
      </c>
      <c r="B7" s="13" t="n">
        <v>251.311</v>
      </c>
      <c r="C7" s="13" t="n">
        <v>244.21</v>
      </c>
      <c r="D7" s="6" t="n">
        <v>49997</v>
      </c>
      <c r="E7" s="6" t="n">
        <v>61373</v>
      </c>
      <c r="F7" s="7" t="n">
        <v>11375</v>
      </c>
      <c r="G7" s="21" t="n">
        <v>22.75136508190491</v>
      </c>
      <c r="H7" s="5" t="inlineStr">
        <is>
          <t>Zerodha/Coin</t>
        </is>
      </c>
    </row>
    <row r="8">
      <c r="A8" s="5" t="inlineStr">
        <is>
          <t>HDFC Flexi Cap - Direct</t>
        </is>
      </c>
      <c r="B8" s="13" t="n">
        <v>30.758</v>
      </c>
      <c r="C8" s="13" t="n">
        <v>2298.07</v>
      </c>
      <c r="D8" s="6" t="n">
        <v>67999</v>
      </c>
      <c r="E8" s="6" t="n">
        <v>70684</v>
      </c>
      <c r="F8" s="7" t="n">
        <v>2685</v>
      </c>
      <c r="G8" s="21" t="n">
        <v>3.948587479227636</v>
      </c>
      <c r="H8" s="5" t="inlineStr">
        <is>
          <t>Zerodha/Coin</t>
        </is>
      </c>
    </row>
    <row r="9">
      <c r="A9" s="5" t="inlineStr">
        <is>
          <t>ICICI Pru Dividend Yield - Direct</t>
        </is>
      </c>
      <c r="B9" s="13" t="n">
        <v>719.26</v>
      </c>
      <c r="C9" s="13" t="n">
        <v>58.83</v>
      </c>
      <c r="D9" s="6" t="n">
        <v>43998</v>
      </c>
      <c r="E9" s="6" t="n">
        <v>42314</v>
      </c>
      <c r="F9" s="22" t="n">
        <v>-1684</v>
      </c>
      <c r="G9" s="23" t="n">
        <v>-3.827446702122824</v>
      </c>
      <c r="H9" s="5" t="inlineStr">
        <is>
          <t>Zerodha</t>
        </is>
      </c>
    </row>
    <row r="10">
      <c r="A10" s="5" t="inlineStr">
        <is>
          <t>Quantum ELSS Tax Saver - Growth</t>
        </is>
      </c>
      <c r="B10" s="13" t="n">
        <v>283.789</v>
      </c>
      <c r="C10" s="13" t="n">
        <v>127.82</v>
      </c>
      <c r="D10" s="6" t="n">
        <v>36498</v>
      </c>
      <c r="E10" s="6" t="n">
        <v>36274</v>
      </c>
      <c r="F10" s="22" t="n">
        <v>-224</v>
      </c>
      <c r="G10" s="23" t="n">
        <v>-0.6137322593018796</v>
      </c>
      <c r="H10" s="5" t="inlineStr">
        <is>
          <t>Zerodha/Coin</t>
        </is>
      </c>
    </row>
    <row r="11">
      <c r="A11" s="5" t="inlineStr">
        <is>
          <t>Nippon India Multi Cap - Direct</t>
        </is>
      </c>
      <c r="B11" s="13" t="n">
        <v>80.136</v>
      </c>
      <c r="C11" s="13" t="n">
        <v>340.7896</v>
      </c>
      <c r="D11" s="6" t="n">
        <v>24999</v>
      </c>
      <c r="E11" s="6" t="n">
        <v>27310</v>
      </c>
      <c r="F11" s="7" t="n">
        <v>2311</v>
      </c>
      <c r="G11" s="21" t="n">
        <v>9.244369774790991</v>
      </c>
      <c r="H11" s="5" t="inlineStr">
        <is>
          <t>Zerodha/Coin</t>
        </is>
      </c>
    </row>
    <row r="12">
      <c r="A12" s="5" t="inlineStr">
        <is>
          <t>JioBlackRock Flexi Cap - Direct</t>
        </is>
      </c>
      <c r="B12" s="13" t="n">
        <v>1512.91</v>
      </c>
      <c r="C12" s="13" t="n">
        <v>9.640000000000001</v>
      </c>
      <c r="D12" s="6" t="n">
        <v>15499</v>
      </c>
      <c r="E12" s="6" t="n">
        <v>14577</v>
      </c>
      <c r="F12" s="22" t="n">
        <v>-922</v>
      </c>
      <c r="G12" s="23" t="n">
        <v>-5.948770888444415</v>
      </c>
      <c r="H12" s="5" t="inlineStr">
        <is>
          <t>Zerodha</t>
        </is>
      </c>
    </row>
    <row r="13">
      <c r="A13" s="5" t="inlineStr">
        <is>
          <t>Kotak Large &amp; Midcap - Direct</t>
        </is>
      </c>
      <c r="B13" s="13" t="n">
        <v>34.455</v>
      </c>
      <c r="C13" s="13" t="n">
        <v>415.956</v>
      </c>
      <c r="D13" s="6" t="n">
        <v>12499</v>
      </c>
      <c r="E13" s="6" t="n">
        <v>14332</v>
      </c>
      <c r="F13" s="7" t="n">
        <v>1833</v>
      </c>
      <c r="G13" s="21" t="n">
        <v>14.66517321385711</v>
      </c>
      <c r="H13" s="5" t="inlineStr">
        <is>
          <t>Zerodha/Coin</t>
        </is>
      </c>
    </row>
    <row r="14">
      <c r="A14" s="8" t="inlineStr">
        <is>
          <t>TOTAL</t>
        </is>
      </c>
      <c r="D14" s="9" t="n">
        <v>876489</v>
      </c>
      <c r="E14" s="9" t="n">
        <v>940383</v>
      </c>
      <c r="F14" s="9" t="n">
        <v>63894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10" customWidth="1" min="4" max="4"/>
    <col width="12" customWidth="1" min="5" max="5"/>
    <col width="12" customWidth="1" min="6" max="6"/>
    <col width="11" customWidth="1" min="7" max="7"/>
    <col width="8" customWidth="1" min="8" max="8"/>
    <col width="9" customWidth="1" min="9" max="9"/>
  </cols>
  <sheetData>
    <row r="1">
      <c r="A1" s="3" t="inlineStr">
        <is>
          <t>Alpaca (active) — ETFs</t>
        </is>
      </c>
    </row>
    <row r="2">
      <c r="A2" s="4" t="inlineStr">
        <is>
          <t>Symbol</t>
        </is>
      </c>
      <c r="B2" s="4" t="inlineStr">
        <is>
          <t>Name</t>
        </is>
      </c>
      <c r="C2" s="4" t="inlineStr">
        <is>
          <t>Units</t>
        </is>
      </c>
      <c r="D2" s="4" t="inlineStr">
        <is>
          <t>Price $</t>
        </is>
      </c>
      <c r="E2" s="4" t="inlineStr">
        <is>
          <t>Value ₹</t>
        </is>
      </c>
      <c r="F2" s="4" t="inlineStr">
        <is>
          <t>Invested ₹</t>
        </is>
      </c>
      <c r="G2" s="4" t="inlineStr">
        <is>
          <t>P&amp;L ₹</t>
        </is>
      </c>
      <c r="H2" s="4" t="inlineStr">
        <is>
          <t>P&amp;L %</t>
        </is>
      </c>
      <c r="I2" s="4" t="inlineStr">
        <is>
          <t>Price Src</t>
        </is>
      </c>
    </row>
    <row r="3">
      <c r="A3" s="5" t="inlineStr">
        <is>
          <t>VOO</t>
        </is>
      </c>
      <c r="B3" s="5" t="inlineStr">
        <is>
          <t>Vanguard S&amp;P 500 ETF</t>
        </is>
      </c>
      <c r="C3" s="24" t="n">
        <v>2.059726</v>
      </c>
      <c r="D3" s="13" t="n">
        <v>632.8753</v>
      </c>
      <c r="E3" s="6" t="n">
        <v>123837.222465941</v>
      </c>
      <c r="F3" s="6" t="n">
        <v>123837.222465941</v>
      </c>
      <c r="G3" s="7" t="n">
        <v>0</v>
      </c>
      <c r="H3" s="21" t="n">
        <v>0</v>
      </c>
      <c r="I3" s="17" t="inlineStr">
        <is>
          <t>cached</t>
        </is>
      </c>
    </row>
    <row r="4">
      <c r="A4" s="5" t="inlineStr">
        <is>
          <t>QQQM</t>
        </is>
      </c>
      <c r="B4" s="5" t="inlineStr">
        <is>
          <t>Invesco NASDAQ 100 ETF</t>
        </is>
      </c>
      <c r="C4" s="24" t="n">
        <v>5.063271</v>
      </c>
      <c r="D4" s="13" t="n">
        <v>257.4541</v>
      </c>
      <c r="E4" s="6" t="n">
        <v>123838.1884443045</v>
      </c>
      <c r="F4" s="6" t="n">
        <v>123838.1884443045</v>
      </c>
      <c r="G4" s="7" t="n">
        <v>0</v>
      </c>
      <c r="H4" s="21" t="n">
        <v>0</v>
      </c>
      <c r="I4" s="17" t="inlineStr">
        <is>
          <t>cached</t>
        </is>
      </c>
    </row>
    <row r="5">
      <c r="A5" s="5" t="inlineStr">
        <is>
          <t>SCHD</t>
        </is>
      </c>
      <c r="B5" s="5" t="inlineStr">
        <is>
          <t>Schwab US Dividend Equity ETF</t>
        </is>
      </c>
      <c r="C5" s="24" t="n">
        <v>24.68727</v>
      </c>
      <c r="D5" s="13" t="n">
        <v>30.2732</v>
      </c>
      <c r="E5" s="6" t="n">
        <v>70999.45290558001</v>
      </c>
      <c r="F5" s="6" t="n">
        <v>70999.45290558001</v>
      </c>
      <c r="G5" s="7" t="n">
        <v>0</v>
      </c>
      <c r="H5" s="21" t="n">
        <v>0</v>
      </c>
      <c r="I5" s="17" t="inlineStr">
        <is>
          <t>cached</t>
        </is>
      </c>
    </row>
    <row r="6">
      <c r="A6" s="5" t="inlineStr">
        <is>
          <t>DGRO</t>
        </is>
      </c>
      <c r="B6" s="5" t="inlineStr">
        <is>
          <t>iShares Core Dividend Growth ETF</t>
        </is>
      </c>
      <c r="C6" s="24" t="n">
        <v>10.317231</v>
      </c>
      <c r="D6" s="13" t="n">
        <v>72.4409</v>
      </c>
      <c r="E6" s="6" t="n">
        <v>71002.00241905049</v>
      </c>
      <c r="F6" s="6" t="n">
        <v>71002.00241905049</v>
      </c>
      <c r="G6" s="7" t="n">
        <v>0</v>
      </c>
      <c r="H6" s="21" t="n">
        <v>0</v>
      </c>
      <c r="I6" s="17" t="inlineStr">
        <is>
          <t>cached</t>
        </is>
      </c>
    </row>
    <row r="7">
      <c r="A7" s="5" t="inlineStr">
        <is>
          <t>VGT</t>
        </is>
      </c>
      <c r="B7" s="5" t="inlineStr">
        <is>
          <t>Vanguard IT ETF</t>
        </is>
      </c>
      <c r="C7" s="24" t="n">
        <v>6.213356</v>
      </c>
      <c r="D7" s="13" t="n">
        <v>96.53319999999999</v>
      </c>
      <c r="E7" s="6" t="n">
        <v>56980.53805482399</v>
      </c>
      <c r="F7" s="6" t="n">
        <v>56980.53805482399</v>
      </c>
      <c r="G7" s="7" t="n">
        <v>0</v>
      </c>
      <c r="H7" s="21" t="n">
        <v>0</v>
      </c>
      <c r="I7" s="17" t="inlineStr">
        <is>
          <t>cached</t>
        </is>
      </c>
    </row>
    <row r="8">
      <c r="A8" s="5" t="inlineStr">
        <is>
          <t>VUG</t>
        </is>
      </c>
      <c r="B8" s="5" t="inlineStr">
        <is>
          <t>Vanguard Growth ETF</t>
        </is>
      </c>
      <c r="C8" s="24" t="n">
        <v>4.97379</v>
      </c>
      <c r="D8" s="13" t="n">
        <v>80.4494</v>
      </c>
      <c r="E8" s="6" t="n">
        <v>38013.15001647</v>
      </c>
      <c r="F8" s="6" t="n">
        <v>38013.15001647</v>
      </c>
      <c r="G8" s="7" t="n">
        <v>0</v>
      </c>
      <c r="H8" s="21" t="n">
        <v>0</v>
      </c>
      <c r="I8" s="17" t="inlineStr">
        <is>
          <t>cached</t>
        </is>
      </c>
    </row>
    <row r="9">
      <c r="A9" s="5" t="inlineStr">
        <is>
          <t>SMH</t>
        </is>
      </c>
      <c r="B9" s="5" t="inlineStr">
        <is>
          <t>VanEck Semiconductor ETF</t>
        </is>
      </c>
      <c r="C9" s="24" t="n">
        <v>0.859175</v>
      </c>
      <c r="D9" s="13" t="n">
        <v>465.1721</v>
      </c>
      <c r="E9" s="6" t="n">
        <v>37968.1027066625</v>
      </c>
      <c r="F9" s="6" t="n">
        <v>37968.1027066625</v>
      </c>
      <c r="G9" s="7" t="n">
        <v>0</v>
      </c>
      <c r="H9" s="21" t="n">
        <v>0</v>
      </c>
      <c r="I9" s="17" t="inlineStr">
        <is>
          <t>cached</t>
        </is>
      </c>
    </row>
    <row r="10">
      <c r="A10" s="5" t="inlineStr">
        <is>
          <t>VFH</t>
        </is>
      </c>
      <c r="B10" s="5" t="inlineStr">
        <is>
          <t>Vanguard Financials ETF</t>
        </is>
      </c>
      <c r="C10" s="24" t="n">
        <v>2.834662</v>
      </c>
      <c r="D10" s="13" t="n">
        <v>123.1081</v>
      </c>
      <c r="E10" s="6" t="n">
        <v>33152.136031409</v>
      </c>
      <c r="F10" s="6" t="n">
        <v>33152.136031409</v>
      </c>
      <c r="G10" s="7" t="n">
        <v>0</v>
      </c>
      <c r="H10" s="21" t="n">
        <v>0</v>
      </c>
      <c r="I10" s="17" t="inlineStr">
        <is>
          <t>cached</t>
        </is>
      </c>
    </row>
    <row r="11">
      <c r="A11" s="5" t="inlineStr">
        <is>
          <t>VIG</t>
        </is>
      </c>
      <c r="B11" s="5" t="inlineStr">
        <is>
          <t>Vanguard Dividend Appreciation ETF</t>
        </is>
      </c>
      <c r="C11" s="24" t="n">
        <v>1.552689</v>
      </c>
      <c r="D11" s="13" t="n">
        <v>225.9113</v>
      </c>
      <c r="E11" s="6" t="n">
        <v>33323.1490961415</v>
      </c>
      <c r="F11" s="6" t="n">
        <v>33323.1490961415</v>
      </c>
      <c r="G11" s="7" t="n">
        <v>0</v>
      </c>
      <c r="H11" s="21" t="n">
        <v>0</v>
      </c>
      <c r="I11" s="17" t="inlineStr">
        <is>
          <t>cached</t>
        </is>
      </c>
    </row>
    <row r="12">
      <c r="A12" s="5" t="inlineStr">
        <is>
          <t>VEU</t>
        </is>
      </c>
      <c r="B12" s="5" t="inlineStr">
        <is>
          <t>Vanguard FTSE All-World ex-US ETF</t>
        </is>
      </c>
      <c r="C12" s="24" t="n">
        <v>5.493727</v>
      </c>
      <c r="D12" s="13" t="n">
        <v>78.20740000000001</v>
      </c>
      <c r="E12" s="6" t="n">
        <v>40816.759973081</v>
      </c>
      <c r="F12" s="6" t="n">
        <v>40816.759973081</v>
      </c>
      <c r="G12" s="7" t="n">
        <v>0</v>
      </c>
      <c r="H12" s="21" t="n">
        <v>0</v>
      </c>
      <c r="I12" s="17" t="inlineStr">
        <is>
          <t>cached</t>
        </is>
      </c>
    </row>
    <row r="13">
      <c r="A13" s="5" t="inlineStr">
        <is>
          <t>VDE</t>
        </is>
      </c>
      <c r="B13" s="5" t="inlineStr">
        <is>
          <t>Vanguard Energy ETF</t>
        </is>
      </c>
      <c r="C13" s="24" t="n">
        <v>1.743754</v>
      </c>
      <c r="D13" s="13" t="n">
        <v>160.8637</v>
      </c>
      <c r="E13" s="6" t="n">
        <v>26648.138431331</v>
      </c>
      <c r="F13" s="6" t="n">
        <v>26648.138431331</v>
      </c>
      <c r="G13" s="7" t="n">
        <v>0</v>
      </c>
      <c r="H13" s="21" t="n">
        <v>0</v>
      </c>
      <c r="I13" s="17" t="inlineStr">
        <is>
          <t>cached</t>
        </is>
      </c>
    </row>
    <row r="14">
      <c r="A14" s="5" t="inlineStr">
        <is>
          <t>QTUM</t>
        </is>
      </c>
      <c r="B14" s="5" t="inlineStr">
        <is>
          <t>Defiance Quantum ETF</t>
        </is>
      </c>
      <c r="C14" s="24" t="n">
        <v>1.320208</v>
      </c>
      <c r="D14" s="13" t="n">
        <v>128.3965</v>
      </c>
      <c r="E14" s="6" t="n">
        <v>16103.45821484</v>
      </c>
      <c r="F14" s="6" t="n">
        <v>16103.45821484</v>
      </c>
      <c r="G14" s="7" t="n">
        <v>0</v>
      </c>
      <c r="H14" s="21" t="n">
        <v>0</v>
      </c>
      <c r="I14" s="17" t="inlineStr">
        <is>
          <t>cached</t>
        </is>
      </c>
    </row>
    <row r="15">
      <c r="A15" s="5" t="inlineStr">
        <is>
          <t>EWY</t>
        </is>
      </c>
      <c r="B15" s="5" t="inlineStr">
        <is>
          <t>iShares MSCI South Korea ETF</t>
        </is>
      </c>
      <c r="C15" s="24" t="n">
        <v>1.213968</v>
      </c>
      <c r="D15" s="13" t="n">
        <v>164.8516</v>
      </c>
      <c r="E15" s="6" t="n">
        <v>19011.833879136</v>
      </c>
      <c r="F15" s="6" t="n">
        <v>19011.833879136</v>
      </c>
      <c r="G15" s="7" t="n">
        <v>0</v>
      </c>
      <c r="H15" s="21" t="n">
        <v>0</v>
      </c>
      <c r="I15" s="17" t="inlineStr">
        <is>
          <t>cached</t>
        </is>
      </c>
    </row>
    <row r="17">
      <c r="A17" s="3" t="inlineStr">
        <is>
          <t>Alpaca (active) — Stocks</t>
        </is>
      </c>
    </row>
    <row r="18">
      <c r="A18" s="4" t="inlineStr">
        <is>
          <t>Symbol</t>
        </is>
      </c>
      <c r="B18" s="4" t="inlineStr">
        <is>
          <t>Name</t>
        </is>
      </c>
      <c r="C18" s="4" t="inlineStr">
        <is>
          <t>Units</t>
        </is>
      </c>
      <c r="D18" s="4" t="inlineStr">
        <is>
          <t>Price $</t>
        </is>
      </c>
      <c r="E18" s="4" t="inlineStr">
        <is>
          <t>Value ₹</t>
        </is>
      </c>
      <c r="F18" s="4" t="inlineStr">
        <is>
          <t>Invested ₹</t>
        </is>
      </c>
      <c r="G18" s="4" t="inlineStr">
        <is>
          <t>P&amp;L ₹</t>
        </is>
      </c>
      <c r="H18" s="4" t="inlineStr">
        <is>
          <t>P&amp;L %</t>
        </is>
      </c>
      <c r="I18" s="4" t="inlineStr">
        <is>
          <t>Price Src</t>
        </is>
      </c>
    </row>
    <row r="19">
      <c r="A19" s="5" t="inlineStr">
        <is>
          <t>AMD</t>
        </is>
      </c>
      <c r="B19" s="5" t="inlineStr">
        <is>
          <t>Advanced Micro Devices</t>
        </is>
      </c>
      <c r="C19" s="24" t="n">
        <v>0.460633</v>
      </c>
      <c r="D19" s="13" t="n">
        <v>325.713</v>
      </c>
      <c r="E19" s="6" t="n">
        <v>14253.244851255</v>
      </c>
      <c r="F19" s="6" t="n">
        <v>14253.244851255</v>
      </c>
      <c r="G19" s="7" t="n">
        <v>0</v>
      </c>
      <c r="H19" s="21" t="n">
        <v>0</v>
      </c>
      <c r="I19" s="17" t="inlineStr">
        <is>
          <t>cached</t>
        </is>
      </c>
    </row>
    <row r="20">
      <c r="A20" s="5" t="inlineStr">
        <is>
          <t>TSM</t>
        </is>
      </c>
      <c r="B20" s="5" t="inlineStr">
        <is>
          <t>Taiwan Semiconductor</t>
        </is>
      </c>
      <c r="C20" s="24" t="n">
        <v>0.428015</v>
      </c>
      <c r="D20" s="13" t="n">
        <v>351.5767</v>
      </c>
      <c r="E20" s="6" t="n">
        <v>14295.6096187975</v>
      </c>
      <c r="F20" s="6" t="n">
        <v>14295.6096187975</v>
      </c>
      <c r="G20" s="7" t="n">
        <v>0</v>
      </c>
      <c r="H20" s="21" t="n">
        <v>0</v>
      </c>
      <c r="I20" s="17" t="inlineStr">
        <is>
          <t>cached</t>
        </is>
      </c>
    </row>
    <row r="21">
      <c r="A21" s="5" t="inlineStr">
        <is>
          <t>GOOG</t>
        </is>
      </c>
      <c r="B21" s="5" t="inlineStr">
        <is>
          <t>Alphabet Class C</t>
        </is>
      </c>
      <c r="C21" s="24" t="n">
        <v>0.487101</v>
      </c>
      <c r="D21" s="13" t="n">
        <v>308.56</v>
      </c>
      <c r="E21" s="6" t="n">
        <v>14278.4890332</v>
      </c>
      <c r="F21" s="6" t="n">
        <v>14278.4890332</v>
      </c>
      <c r="G21" s="7" t="n">
        <v>0</v>
      </c>
      <c r="H21" s="21" t="n">
        <v>0</v>
      </c>
      <c r="I21" s="17" t="inlineStr">
        <is>
          <t>cached</t>
        </is>
      </c>
    </row>
    <row r="22">
      <c r="A22" s="5" t="inlineStr">
        <is>
          <t>AAPL</t>
        </is>
      </c>
      <c r="B22" s="5" t="inlineStr">
        <is>
          <t>Apple</t>
        </is>
      </c>
      <c r="C22" s="24" t="n">
        <v>0.5484019999999999</v>
      </c>
      <c r="D22" s="13" t="n">
        <v>274.6341</v>
      </c>
      <c r="E22" s="6" t="n">
        <v>14307.939522279</v>
      </c>
      <c r="F22" s="6" t="n">
        <v>14307.939522279</v>
      </c>
      <c r="G22" s="7" t="n">
        <v>0</v>
      </c>
      <c r="H22" s="21" t="n">
        <v>0</v>
      </c>
      <c r="I22" s="17" t="inlineStr">
        <is>
          <t>cached</t>
        </is>
      </c>
    </row>
    <row r="23">
      <c r="A23" s="5" t="inlineStr">
        <is>
          <t>AMZN</t>
        </is>
      </c>
      <c r="B23" s="5" t="inlineStr">
        <is>
          <t>Amazon</t>
        </is>
      </c>
      <c r="C23" s="24" t="n">
        <v>0.67883</v>
      </c>
      <c r="D23" s="13" t="n">
        <v>221.3808</v>
      </c>
      <c r="E23" s="6" t="n">
        <v>14276.59320408</v>
      </c>
      <c r="F23" s="6" t="n">
        <v>14276.59320408</v>
      </c>
      <c r="G23" s="7" t="n">
        <v>0</v>
      </c>
      <c r="H23" s="21" t="n">
        <v>0</v>
      </c>
      <c r="I23" s="17" t="inlineStr">
        <is>
          <t>cached</t>
        </is>
      </c>
    </row>
    <row r="24">
      <c r="A24" s="5" t="inlineStr">
        <is>
          <t>NVDA</t>
        </is>
      </c>
      <c r="B24" s="5" t="inlineStr">
        <is>
          <t>NVIDIA</t>
        </is>
      </c>
      <c r="C24" s="24" t="n">
        <v>0.78313</v>
      </c>
      <c r="D24" s="13" t="n">
        <v>189.6749</v>
      </c>
      <c r="E24" s="6" t="n">
        <v>14111.309921515</v>
      </c>
      <c r="F24" s="6" t="n">
        <v>14111.309921515</v>
      </c>
      <c r="G24" s="7" t="n">
        <v>0</v>
      </c>
      <c r="H24" s="21" t="n">
        <v>0</v>
      </c>
      <c r="I24" s="17" t="inlineStr">
        <is>
          <t>cached</t>
        </is>
      </c>
    </row>
    <row r="25">
      <c r="A25" s="5" t="inlineStr">
        <is>
          <t>TSLA</t>
        </is>
      </c>
      <c r="B25" s="5" t="inlineStr">
        <is>
          <t>Tesla</t>
        </is>
      </c>
      <c r="C25" s="24" t="n">
        <v>0.38196</v>
      </c>
      <c r="D25" s="13" t="n">
        <v>394.0727</v>
      </c>
      <c r="E25" s="6" t="n">
        <v>14299.40080674</v>
      </c>
      <c r="F25" s="6" t="n">
        <v>14299.40080674</v>
      </c>
      <c r="G25" s="7" t="n">
        <v>0</v>
      </c>
      <c r="H25" s="21" t="n">
        <v>0</v>
      </c>
      <c r="I25" s="17" t="inlineStr">
        <is>
          <t>cached</t>
        </is>
      </c>
    </row>
    <row r="26">
      <c r="A26" s="5" t="inlineStr">
        <is>
          <t>V</t>
        </is>
      </c>
      <c r="B26" s="5" t="inlineStr">
        <is>
          <t>Visa</t>
        </is>
      </c>
      <c r="C26" s="24" t="n">
        <v>0.462536</v>
      </c>
      <c r="D26" s="13" t="n">
        <v>325.4883</v>
      </c>
      <c r="E26" s="6" t="n">
        <v>14302.255351236</v>
      </c>
      <c r="F26" s="6" t="n">
        <v>14302.255351236</v>
      </c>
      <c r="G26" s="7" t="n">
        <v>0</v>
      </c>
      <c r="H26" s="21" t="n">
        <v>0</v>
      </c>
      <c r="I26" s="17" t="inlineStr">
        <is>
          <t>cached</t>
        </is>
      </c>
    </row>
    <row r="27">
      <c r="A27" s="5" t="inlineStr">
        <is>
          <t>JPM</t>
        </is>
      </c>
      <c r="B27" s="5" t="inlineStr">
        <is>
          <t>JPMorgan Chase</t>
        </is>
      </c>
      <c r="C27" s="24" t="n">
        <v>0.476694</v>
      </c>
      <c r="D27" s="13" t="n">
        <v>315.8211</v>
      </c>
      <c r="E27" s="6" t="n">
        <v>14302.252227123</v>
      </c>
      <c r="F27" s="6" t="n">
        <v>14302.252227123</v>
      </c>
      <c r="G27" s="7" t="n">
        <v>0</v>
      </c>
      <c r="H27" s="21" t="n">
        <v>0</v>
      </c>
      <c r="I27" s="17" t="inlineStr">
        <is>
          <t>cached</t>
        </is>
      </c>
    </row>
    <row r="28">
      <c r="A28" s="5" t="inlineStr">
        <is>
          <t>META</t>
        </is>
      </c>
      <c r="B28" s="5" t="inlineStr">
        <is>
          <t>Meta Platforms</t>
        </is>
      </c>
      <c r="C28" s="24" t="n">
        <v>0.252134</v>
      </c>
      <c r="D28" s="13" t="n">
        <v>594.1683</v>
      </c>
      <c r="E28" s="6" t="n">
        <v>14231.952864459</v>
      </c>
      <c r="F28" s="6" t="n">
        <v>14231.952864459</v>
      </c>
      <c r="G28" s="7" t="n">
        <v>0</v>
      </c>
      <c r="H28" s="21" t="n">
        <v>0</v>
      </c>
      <c r="I28" s="17" t="inlineStr">
        <is>
          <t>cached</t>
        </is>
      </c>
    </row>
    <row r="29">
      <c r="A29" s="5" t="inlineStr">
        <is>
          <t>MSFT</t>
        </is>
      </c>
      <c r="B29" s="5" t="inlineStr">
        <is>
          <t>Microsoft</t>
        </is>
      </c>
      <c r="C29" s="24" t="n">
        <v>0.38419</v>
      </c>
      <c r="D29" s="13" t="n">
        <v>391.8375</v>
      </c>
      <c r="E29" s="6" t="n">
        <v>14301.304666875</v>
      </c>
      <c r="F29" s="6" t="n">
        <v>14301.304666875</v>
      </c>
      <c r="G29" s="7" t="n">
        <v>0</v>
      </c>
      <c r="H29" s="21" t="n">
        <v>0</v>
      </c>
      <c r="I29" s="17" t="inlineStr">
        <is>
          <t>cached</t>
        </is>
      </c>
    </row>
    <row r="30">
      <c r="A30" s="5" t="inlineStr">
        <is>
          <t>MA</t>
        </is>
      </c>
      <c r="B30" s="5" t="inlineStr">
        <is>
          <t>Mastercard</t>
        </is>
      </c>
      <c r="C30" s="24" t="n">
        <v>0.299184</v>
      </c>
      <c r="D30" s="13" t="n">
        <v>503.2021</v>
      </c>
      <c r="E30" s="6" t="n">
        <v>14302.251623208</v>
      </c>
      <c r="F30" s="6" t="n">
        <v>14302.251623208</v>
      </c>
      <c r="G30" s="7" t="n">
        <v>0</v>
      </c>
      <c r="H30" s="21" t="n">
        <v>0</v>
      </c>
      <c r="I30" s="17" t="inlineStr">
        <is>
          <t>cached</t>
        </is>
      </c>
    </row>
    <row r="31">
      <c r="A31" s="5" t="inlineStr">
        <is>
          <t>CVX</t>
        </is>
      </c>
      <c r="B31" s="5" t="inlineStr">
        <is>
          <t>Chevron</t>
        </is>
      </c>
      <c r="C31" s="24" t="n">
        <v>0.87176</v>
      </c>
      <c r="D31" s="13" t="n">
        <v>171.5611</v>
      </c>
      <c r="E31" s="6" t="n">
        <v>14208.20993092</v>
      </c>
      <c r="F31" s="6" t="n">
        <v>14208.20993092</v>
      </c>
      <c r="G31" s="7" t="n">
        <v>0</v>
      </c>
      <c r="H31" s="21" t="n">
        <v>0</v>
      </c>
      <c r="I31" s="17" t="inlineStr">
        <is>
          <t>cached</t>
        </is>
      </c>
    </row>
    <row r="32">
      <c r="A32" s="5" t="inlineStr">
        <is>
          <t>DRAM</t>
        </is>
      </c>
      <c r="B32" s="5" t="inlineStr">
        <is>
          <t>DRAM (confirm exact fund/co.)</t>
        </is>
      </c>
      <c r="C32" s="24" t="n">
        <v>3.549237</v>
      </c>
      <c r="D32" s="13" t="n">
        <v>56.0899</v>
      </c>
      <c r="E32" s="6" t="n">
        <v>18912.2530985985</v>
      </c>
      <c r="F32" s="6" t="n">
        <v>18912.2530985985</v>
      </c>
      <c r="G32" s="7" t="n">
        <v>0</v>
      </c>
      <c r="H32" s="21" t="n">
        <v>0</v>
      </c>
      <c r="I32" s="17" t="inlineStr">
        <is>
          <t>cached</t>
        </is>
      </c>
    </row>
    <row r="34">
      <c r="B34" s="8" t="inlineStr">
        <is>
          <t>Alpaca (active) subtotal</t>
        </is>
      </c>
      <c r="E34" s="9" t="n">
        <v>896077.1993590571</v>
      </c>
      <c r="F34" s="9" t="n">
        <v>896077.1993590571</v>
      </c>
      <c r="G34" s="20" t="n">
        <v>0</v>
      </c>
    </row>
    <row r="36">
      <c r="A36" s="3" t="inlineStr">
        <is>
          <t>TBD — confirm account/broker name (set-and-forget) — ETFs</t>
        </is>
      </c>
    </row>
    <row r="37">
      <c r="A37" s="4" t="inlineStr">
        <is>
          <t>Symbol</t>
        </is>
      </c>
      <c r="B37" s="4" t="inlineStr">
        <is>
          <t>Name</t>
        </is>
      </c>
      <c r="C37" s="4" t="inlineStr">
        <is>
          <t>Units</t>
        </is>
      </c>
      <c r="D37" s="4" t="inlineStr">
        <is>
          <t>Price $</t>
        </is>
      </c>
      <c r="E37" s="4" t="inlineStr">
        <is>
          <t>Value ₹</t>
        </is>
      </c>
      <c r="F37" s="4" t="inlineStr">
        <is>
          <t>Invested ₹</t>
        </is>
      </c>
      <c r="G37" s="4" t="inlineStr">
        <is>
          <t>P&amp;L ₹</t>
        </is>
      </c>
      <c r="H37" s="4" t="inlineStr">
        <is>
          <t>P&amp;L %</t>
        </is>
      </c>
      <c r="I37" s="4" t="inlineStr">
        <is>
          <t>Price Src</t>
        </is>
      </c>
    </row>
    <row r="38">
      <c r="A38" s="5" t="inlineStr">
        <is>
          <t>QQQM</t>
        </is>
      </c>
      <c r="B38" s="5" t="inlineStr">
        <is>
          <t>Invesco NASDAQ 100 ETF</t>
        </is>
      </c>
      <c r="C38" s="24" t="n">
        <v>2.02555</v>
      </c>
      <c r="D38" s="13" t="n">
        <v>297.65</v>
      </c>
      <c r="E38" s="6" t="n">
        <v>57275.97096249999</v>
      </c>
      <c r="F38" s="6" t="n">
        <v>57275.97096249999</v>
      </c>
      <c r="G38" s="7" t="n">
        <v>0</v>
      </c>
      <c r="H38" s="21" t="n">
        <v>0</v>
      </c>
      <c r="I38" s="17" t="inlineStr">
        <is>
          <t>cached</t>
        </is>
      </c>
    </row>
    <row r="39">
      <c r="A39" s="5" t="inlineStr">
        <is>
          <t>SMH</t>
        </is>
      </c>
      <c r="B39" s="5" t="inlineStr">
        <is>
          <t>VanEck Semiconductor ETF</t>
        </is>
      </c>
      <c r="C39" s="24" t="n">
        <v>0.44718</v>
      </c>
      <c r="D39" s="13" t="n">
        <v>585.98</v>
      </c>
      <c r="E39" s="6" t="n">
        <v>24893.660958</v>
      </c>
      <c r="F39" s="6" t="n">
        <v>24893.660958</v>
      </c>
      <c r="G39" s="7" t="n">
        <v>0</v>
      </c>
      <c r="H39" s="21" t="n">
        <v>0</v>
      </c>
      <c r="I39" s="17" t="inlineStr">
        <is>
          <t>cached</t>
        </is>
      </c>
    </row>
    <row r="40">
      <c r="A40" s="5" t="inlineStr">
        <is>
          <t>VDE</t>
        </is>
      </c>
      <c r="B40" s="5" t="inlineStr">
        <is>
          <t>Vanguard Energy ETF</t>
        </is>
      </c>
      <c r="C40" s="24" t="n">
        <v>1</v>
      </c>
      <c r="D40" s="13" t="n">
        <v>167.88</v>
      </c>
      <c r="E40" s="6" t="n">
        <v>15948.6</v>
      </c>
      <c r="F40" s="6" t="n">
        <v>15948.6</v>
      </c>
      <c r="G40" s="7" t="n">
        <v>0</v>
      </c>
      <c r="H40" s="21" t="n">
        <v>0</v>
      </c>
      <c r="I40" s="17" t="inlineStr">
        <is>
          <t>cached</t>
        </is>
      </c>
    </row>
    <row r="41">
      <c r="A41" s="5" t="inlineStr">
        <is>
          <t>VEU</t>
        </is>
      </c>
      <c r="B41" s="5" t="inlineStr">
        <is>
          <t>Vanguard FTSE All-World ex-US ETF</t>
        </is>
      </c>
      <c r="C41" s="24" t="n">
        <v>3.7037</v>
      </c>
      <c r="D41" s="13" t="n">
        <v>82.44</v>
      </c>
      <c r="E41" s="6" t="n">
        <v>29006.63766</v>
      </c>
      <c r="F41" s="6" t="n">
        <v>29006.63766</v>
      </c>
      <c r="G41" s="7" t="n">
        <v>0</v>
      </c>
      <c r="H41" s="21" t="n">
        <v>0</v>
      </c>
      <c r="I41" s="17" t="inlineStr">
        <is>
          <t>cached</t>
        </is>
      </c>
    </row>
    <row r="42">
      <c r="A42" s="5" t="inlineStr">
        <is>
          <t>VFH</t>
        </is>
      </c>
      <c r="B42" s="5" t="inlineStr">
        <is>
          <t>Vanguard Financials ETF</t>
        </is>
      </c>
      <c r="C42" s="24" t="n">
        <v>2.10229</v>
      </c>
      <c r="D42" s="13" t="n">
        <v>127.8</v>
      </c>
      <c r="E42" s="6" t="n">
        <v>25523.90289</v>
      </c>
      <c r="F42" s="6" t="n">
        <v>25523.90289</v>
      </c>
      <c r="G42" s="7" t="n">
        <v>0</v>
      </c>
      <c r="H42" s="21" t="n">
        <v>0</v>
      </c>
      <c r="I42" s="17" t="inlineStr">
        <is>
          <t>cached</t>
        </is>
      </c>
    </row>
    <row r="43">
      <c r="A43" s="5" t="inlineStr">
        <is>
          <t>VOO</t>
        </is>
      </c>
      <c r="B43" s="5" t="inlineStr">
        <is>
          <t>Vanguard S&amp;P 500 ETF</t>
        </is>
      </c>
      <c r="C43" s="24" t="n">
        <v>1.17292</v>
      </c>
      <c r="D43" s="13" t="n">
        <v>684.38</v>
      </c>
      <c r="E43" s="6" t="n">
        <v>76258.684012</v>
      </c>
      <c r="F43" s="6" t="n">
        <v>76258.684012</v>
      </c>
      <c r="G43" s="7" t="n">
        <v>0</v>
      </c>
      <c r="H43" s="21" t="n">
        <v>0</v>
      </c>
      <c r="I43" s="17" t="inlineStr">
        <is>
          <t>cached</t>
        </is>
      </c>
    </row>
    <row r="44">
      <c r="A44" s="5" t="inlineStr">
        <is>
          <t>VTI</t>
        </is>
      </c>
      <c r="B44" s="5" t="inlineStr">
        <is>
          <t>Vanguard Total Stock Market ETF</t>
        </is>
      </c>
      <c r="C44" s="24" t="n">
        <v>0.8284</v>
      </c>
      <c r="D44" s="13" t="n">
        <v>362.19</v>
      </c>
      <c r="E44" s="6" t="n">
        <v>28503.62862</v>
      </c>
      <c r="F44" s="6" t="n">
        <v>28503.62862</v>
      </c>
      <c r="G44" s="7" t="n">
        <v>0</v>
      </c>
      <c r="H44" s="21" t="n">
        <v>0</v>
      </c>
      <c r="I44" s="17" t="inlineStr">
        <is>
          <t>cached</t>
        </is>
      </c>
    </row>
    <row r="46">
      <c r="B46" s="8" t="inlineStr">
        <is>
          <t>TBD — confirm account/broker name (set-and-forget) subtotal</t>
        </is>
      </c>
      <c r="E46" s="9" t="n">
        <v>257411.0851025</v>
      </c>
      <c r="F46" s="9" t="n">
        <v>257411.0851025</v>
      </c>
      <c r="G46" s="20" t="n">
        <v>0</v>
      </c>
    </row>
  </sheetData>
  <mergeCells count="3">
    <mergeCell ref="A1:I1"/>
    <mergeCell ref="A17:I17"/>
    <mergeCell ref="A36:I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9" customWidth="1" min="6" max="6"/>
    <col width="10" customWidth="1" min="7" max="7"/>
    <col width="10" customWidth="1" min="8" max="8"/>
    <col width="8" customWidth="1" min="9" max="9"/>
  </cols>
  <sheetData>
    <row r="1">
      <c r="A1" s="3" t="inlineStr">
        <is>
          <t>Open Swing Positions</t>
        </is>
      </c>
    </row>
    <row r="2">
      <c r="A2" s="4" t="inlineStr">
        <is>
          <t>Ticker</t>
        </is>
      </c>
      <c r="B2" s="4" t="inlineStr">
        <is>
          <t>Qty</t>
        </is>
      </c>
      <c r="C2" s="4" t="inlineStr">
        <is>
          <t>Entry</t>
        </is>
      </c>
      <c r="D2" s="4" t="inlineStr">
        <is>
          <t>LTP</t>
        </is>
      </c>
      <c r="E2" s="4" t="inlineStr">
        <is>
          <t>Stop</t>
        </is>
      </c>
      <c r="F2" s="4" t="inlineStr">
        <is>
          <t>Next Target</t>
        </is>
      </c>
      <c r="G2" s="4" t="inlineStr">
        <is>
          <t>P&amp;L %</t>
        </is>
      </c>
      <c r="H2" s="4" t="inlineStr">
        <is>
          <t>Risk ₹</t>
        </is>
      </c>
      <c r="I2" s="4" t="inlineStr">
        <is>
          <t>Src</t>
        </is>
      </c>
    </row>
    <row r="3">
      <c r="A3" s="5" t="inlineStr">
        <is>
          <t>LPG</t>
        </is>
      </c>
      <c r="B3" s="5" t="n">
        <v>7</v>
      </c>
      <c r="C3" s="5" t="n">
        <v>49.381</v>
      </c>
      <c r="D3" s="5" t="n">
        <v>49.39</v>
      </c>
      <c r="E3" s="5" t="n">
        <v>48</v>
      </c>
      <c r="F3" s="5" t="n">
        <v>55</v>
      </c>
      <c r="G3" s="21" t="n">
        <v>0.01822563334075156</v>
      </c>
      <c r="H3" s="5" t="n">
        <v>9.667000000000002</v>
      </c>
      <c r="I3" s="5" t="inlineStr">
        <is>
          <t>override</t>
        </is>
      </c>
    </row>
    <row r="5">
      <c r="A5" s="3" t="inlineStr">
        <is>
          <t>Planned Positions (staged, not filled)</t>
        </is>
      </c>
    </row>
    <row r="6">
      <c r="A6" s="2" t="inlineStr">
        <is>
          <t>No planned positions.</t>
        </is>
      </c>
    </row>
    <row r="8">
      <c r="A8" s="3" t="inlineStr">
        <is>
          <t>Watchlist / Planned Entries</t>
        </is>
      </c>
    </row>
    <row r="9">
      <c r="A9" s="4" t="inlineStr">
        <is>
          <t>Ticker</t>
        </is>
      </c>
      <c r="B9" s="4" t="inlineStr">
        <is>
          <t>Trigger</t>
        </is>
      </c>
      <c r="C9" s="4" t="inlineStr">
        <is>
          <t>Stop</t>
        </is>
      </c>
      <c r="D9" s="4" t="inlineStr">
        <is>
          <t>Note</t>
        </is>
      </c>
      <c r="E9" s="4" t="inlineStr"/>
      <c r="F9" s="4" t="inlineStr"/>
      <c r="G9" s="4" t="inlineStr"/>
      <c r="H9" s="4" t="inlineStr"/>
      <c r="I9" s="4" t="inlineStr"/>
    </row>
    <row r="10">
      <c r="A10" s="5" t="inlineStr">
        <is>
          <t>POLYCAB</t>
        </is>
      </c>
      <c r="B10" s="5" t="inlineStr">
        <is>
          <t>₹9690 reclaim</t>
        </is>
      </c>
      <c r="C10" s="5" t="inlineStr">
        <is>
          <t>₹9265</t>
        </is>
      </c>
      <c r="D10" s="2" t="inlineStr">
        <is>
          <t>A- setup. Fresh box breakout to ATH 10,126, now pulling back. Enter 25% pilot on reclaim of 10D EMA 9,690. Add 50% above 10,126. Invalidate below 50D 9,265.</t>
        </is>
      </c>
    </row>
    <row r="11">
      <c r="A11" s="5" t="inlineStr">
        <is>
          <t>ACUTAAS</t>
        </is>
      </c>
      <c r="B11" s="5" t="inlineStr">
        <is>
          <t>₹3333 pullback</t>
        </is>
      </c>
      <c r="C11" s="5" t="inlineStr">
        <is>
          <t>₹3070</t>
        </is>
      </c>
      <c r="D11" s="2" t="inlineStr">
        <is>
          <t>WAIT — extended late-stage (box 5+), weekly reversal -4.9%. Only on orderly pullback to 21D ~3,333 holding. Never chase above 3,600.</t>
        </is>
      </c>
    </row>
    <row r="12">
      <c r="A12" s="5" t="inlineStr">
        <is>
          <t>RSI</t>
        </is>
      </c>
      <c r="B12" s="5" t="inlineStr">
        <is>
          <t>$29.69-30.00</t>
        </is>
      </c>
      <c r="C12" s="5" t="inlineStr">
        <is>
          <t>$29.24</t>
        </is>
      </c>
      <c r="D12" s="2" t="inlineStr">
        <is>
          <t>US gaming. Pullback entry to Darvas trail. Skip on close below 29.24.</t>
        </is>
      </c>
    </row>
    <row r="13">
      <c r="A13" s="5" t="inlineStr">
        <is>
          <t>STX</t>
        </is>
      </c>
      <c r="B13" s="5" t="inlineStr">
        <is>
          <t>$475-510</t>
        </is>
      </c>
      <c r="C13" s="5" t="inlineStr">
        <is>
          <t>$448</t>
        </is>
      </c>
      <c r="D13" s="2" t="inlineStr">
        <is>
          <t>US semis. B+ setup — RE-CHECK after global chip selloff before acting.</t>
        </is>
      </c>
    </row>
    <row r="14">
      <c r="A14" s="5" t="inlineStr">
        <is>
          <t>WAAREEENER</t>
        </is>
      </c>
      <c r="B14" s="5" t="inlineStr">
        <is>
          <t>₹3080-3120</t>
        </is>
      </c>
      <c r="C14" s="5" t="inlineStr">
        <is>
          <t>₹2960</t>
        </is>
      </c>
      <c r="D14" s="2" t="inlineStr">
        <is>
          <t>B- setup. Wait for ATH &gt;3800.</t>
        </is>
      </c>
    </row>
    <row r="15">
      <c r="A15" s="5" t="inlineStr">
        <is>
          <t>LAURUSLABS</t>
        </is>
      </c>
      <c r="B15" s="5" t="inlineStr">
        <is>
          <t>₹1280-1320</t>
        </is>
      </c>
      <c r="C15" s="5" t="inlineStr">
        <is>
          <t>₹1177</t>
        </is>
      </c>
      <c r="D15" s="2" t="inlineStr">
        <is>
          <t>C+ setup — WAIT. Extended. Only on pullback to 10W EMA ~1280. Remove if closes below 21W 1177.</t>
        </is>
      </c>
    </row>
    <row r="16">
      <c r="A16" s="5" t="inlineStr">
        <is>
          <t>NIFTY</t>
        </is>
      </c>
      <c r="B16" s="5" t="inlineStr"/>
      <c r="C16" s="5" t="inlineStr"/>
      <c r="D16" s="2" t="inlineStr">
        <is>
          <t>RULE FIRED 2026-08-14: price 24,202 lost 21D EMA (24,326) AND 10D EMA (24,374) AND 150D SMA (24,294) AND 200D SMA (24,714) — only above 50D (24,124). Do not deploy new swing longs beyond pilot size until 21D EMA reclaimed.</t>
        </is>
      </c>
    </row>
    <row r="17">
      <c r="A17" s="5" t="inlineStr">
        <is>
          <t>NIFTY500</t>
        </is>
      </c>
      <c r="B17" s="5" t="inlineStr"/>
      <c r="C17" s="5" t="inlineStr"/>
      <c r="D17" s="2" t="inlineStr">
        <is>
          <t>Weaker but not broken: price 23,508 below 10D EMA (23,591) only, still above 21D/50D/150D/200D. Broader-market gauge for mid/small-cap names (more relevant than Nifty50 for names like NETWEB). RS vs Nasdaq at 11 (bottom decile), falling.</t>
        </is>
      </c>
    </row>
    <row r="18">
      <c r="A18" s="5" t="inlineStr">
        <is>
          <t>QQQ</t>
        </is>
      </c>
      <c r="B18" s="5" t="inlineStr"/>
      <c r="C18" s="5" t="inlineStr"/>
      <c r="D18" s="2" t="inlineStr">
        <is>
          <t>US regime gauge — chip selloff in progress, watch for follow-through distribution</t>
        </is>
      </c>
    </row>
    <row r="20">
      <c r="A20" s="3" t="inlineStr">
        <is>
          <t>Closed Trade Journal</t>
        </is>
      </c>
    </row>
    <row r="21">
      <c r="A21" s="4" t="inlineStr">
        <is>
          <t>Ticker</t>
        </is>
      </c>
      <c r="B21" s="4" t="inlineStr">
        <is>
          <t>Result</t>
        </is>
      </c>
      <c r="C21" s="4" t="inlineStr">
        <is>
          <t>Avg Entry</t>
        </is>
      </c>
      <c r="D21" s="4" t="inlineStr">
        <is>
          <t>Avg Exit</t>
        </is>
      </c>
      <c r="E21" s="4" t="inlineStr">
        <is>
          <t>P&amp;L</t>
        </is>
      </c>
      <c r="F21" s="4" t="inlineStr">
        <is>
          <t>P&amp;L %</t>
        </is>
      </c>
      <c r="G21" s="4" t="inlineStr">
        <is>
          <t>Hold Days</t>
        </is>
      </c>
      <c r="H21" s="4" t="inlineStr"/>
      <c r="I21" s="4" t="inlineStr"/>
    </row>
    <row r="22">
      <c r="A22" s="5" t="inlineStr">
        <is>
          <t>SNDK</t>
        </is>
      </c>
      <c r="B22" s="5" t="inlineStr">
        <is>
          <t>profit</t>
        </is>
      </c>
      <c r="C22" s="5" t="n">
        <v>903.13</v>
      </c>
      <c r="D22" s="5" t="n">
        <v>1250.83</v>
      </c>
      <c r="E22" s="5" t="inlineStr">
        <is>
          <t>$113</t>
        </is>
      </c>
      <c r="F22" s="21" t="n">
        <v>37.7</v>
      </c>
      <c r="G22" s="5" t="n">
        <v>35</v>
      </c>
    </row>
    <row r="23">
      <c r="A23" s="5" t="inlineStr">
        <is>
          <t>BSE.NS</t>
        </is>
      </c>
      <c r="B23" s="5" t="inlineStr">
        <is>
          <t>profit</t>
        </is>
      </c>
      <c r="C23" s="5" t="n">
        <v>3415.5</v>
      </c>
      <c r="D23" s="5" t="n">
        <v>3994.53</v>
      </c>
      <c r="E23" s="5" t="inlineStr">
        <is>
          <t>₹4,632</t>
        </is>
      </c>
      <c r="F23" s="21" t="n">
        <v>17</v>
      </c>
      <c r="G23" s="5" t="n">
        <v>48</v>
      </c>
    </row>
    <row r="24">
      <c r="A24" s="5" t="inlineStr">
        <is>
          <t>KRN</t>
        </is>
      </c>
      <c r="B24" s="5" t="inlineStr">
        <is>
          <t>loss</t>
        </is>
      </c>
      <c r="C24" s="5" t="n">
        <v>1310</v>
      </c>
      <c r="D24" s="5" t="n">
        <v>1197.27</v>
      </c>
      <c r="E24" s="5" t="inlineStr">
        <is>
          <t>₹-2,480</t>
        </is>
      </c>
      <c r="F24" s="23" t="n">
        <v>-8.6</v>
      </c>
      <c r="G24" s="5" t="n">
        <v>9</v>
      </c>
    </row>
    <row r="25">
      <c r="A25" s="5" t="inlineStr">
        <is>
          <t>CPRX</t>
        </is>
      </c>
      <c r="B25" s="5" t="inlineStr">
        <is>
          <t>profit</t>
        </is>
      </c>
      <c r="C25" s="5" t="n">
        <v>28.03</v>
      </c>
      <c r="D25" s="5" t="n">
        <v>31.14</v>
      </c>
      <c r="E25" s="5" t="inlineStr">
        <is>
          <t>$21</t>
        </is>
      </c>
      <c r="F25" s="21" t="n">
        <v>10.4</v>
      </c>
      <c r="G25" s="5" t="n">
        <v>14</v>
      </c>
    </row>
    <row r="26">
      <c r="A26" s="5" t="inlineStr">
        <is>
          <t>ATHERENERG</t>
        </is>
      </c>
      <c r="B26" s="5" t="inlineStr">
        <is>
          <t>profit</t>
        </is>
      </c>
      <c r="C26" s="5" t="n">
        <v>960.4</v>
      </c>
      <c r="D26" s="5" t="n">
        <v>979.5</v>
      </c>
      <c r="E26" s="5" t="inlineStr">
        <is>
          <t>₹134</t>
        </is>
      </c>
      <c r="F26" s="21" t="n">
        <v>2</v>
      </c>
      <c r="G26" s="5" t="n">
        <v>37</v>
      </c>
    </row>
    <row r="27">
      <c r="A27" s="5" t="inlineStr">
        <is>
          <t>LRCX</t>
        </is>
      </c>
      <c r="B27" s="5" t="inlineStr">
        <is>
          <t>scratch</t>
        </is>
      </c>
      <c r="C27" s="5" t="n">
        <v>346.09</v>
      </c>
      <c r="D27" s="5" t="n">
        <v>346</v>
      </c>
      <c r="E27" s="5" t="inlineStr">
        <is>
          <t>$-0</t>
        </is>
      </c>
      <c r="F27" s="23" t="n">
        <v>-0.03</v>
      </c>
      <c r="G27" s="5" t="n">
        <v>27</v>
      </c>
    </row>
    <row r="28">
      <c r="A28" s="5" t="inlineStr">
        <is>
          <t>DATAPATTNS</t>
        </is>
      </c>
      <c r="B28" s="5" t="inlineStr">
        <is>
          <t>loss</t>
        </is>
      </c>
      <c r="C28" s="5" t="n">
        <v>4805</v>
      </c>
      <c r="D28" s="5" t="n">
        <v>4400</v>
      </c>
      <c r="E28" s="5" t="inlineStr">
        <is>
          <t>₹-4,050</t>
        </is>
      </c>
      <c r="F28" s="23" t="n">
        <v>-8.4</v>
      </c>
      <c r="G28" s="5" t="n"/>
    </row>
  </sheetData>
  <mergeCells count="13">
    <mergeCell ref="D11:I11"/>
    <mergeCell ref="D10:I10"/>
    <mergeCell ref="D13:I13"/>
    <mergeCell ref="A5:I5"/>
    <mergeCell ref="D14:I14"/>
    <mergeCell ref="D18:I18"/>
    <mergeCell ref="A1:I1"/>
    <mergeCell ref="D17:I17"/>
    <mergeCell ref="A8:I8"/>
    <mergeCell ref="D12:I12"/>
    <mergeCell ref="D16:I16"/>
    <mergeCell ref="A20:I20"/>
    <mergeCell ref="D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9" customWidth="1" min="3" max="3"/>
    <col width="11" customWidth="1" min="4" max="4"/>
    <col width="11" customWidth="1" min="5" max="5"/>
    <col width="8" customWidth="1" min="6" max="6"/>
    <col width="11" customWidth="1" min="7" max="7"/>
    <col width="11" customWidth="1" min="8" max="8"/>
    <col width="10" customWidth="1" min="9" max="9"/>
    <col width="12" customWidth="1" min="10" max="10"/>
    <col width="9" customWidth="1" min="11" max="11"/>
    <col width="10" customWidth="1" min="12" max="12"/>
  </cols>
  <sheetData>
    <row r="1">
      <c r="A1" s="3" t="inlineStr">
        <is>
          <t>SWING TRADE JOURNAL — add new rows below; P&amp;L / R computed by formula</t>
        </is>
      </c>
    </row>
    <row r="2">
      <c r="A2" s="4" t="inlineStr">
        <is>
          <t>Ticker</t>
        </is>
      </c>
      <c r="B2" s="4" t="inlineStr">
        <is>
          <t>Cur</t>
        </is>
      </c>
      <c r="C2" s="4" t="inlineStr">
        <is>
          <t>Result</t>
        </is>
      </c>
      <c r="D2" s="4" t="inlineStr">
        <is>
          <t>Date In</t>
        </is>
      </c>
      <c r="E2" s="4" t="inlineStr">
        <is>
          <t>Date Out</t>
        </is>
      </c>
      <c r="F2" s="4" t="inlineStr">
        <is>
          <t>Qty</t>
        </is>
      </c>
      <c r="G2" s="4" t="inlineStr">
        <is>
          <t>Avg Entry</t>
        </is>
      </c>
      <c r="H2" s="4" t="inlineStr">
        <is>
          <t>Avg Exit</t>
        </is>
      </c>
      <c r="I2" s="4" t="inlineStr">
        <is>
          <t>Stop</t>
        </is>
      </c>
      <c r="J2" s="4" t="inlineStr">
        <is>
          <t>P&amp;L</t>
        </is>
      </c>
      <c r="K2" s="4" t="inlineStr">
        <is>
          <t>P&amp;L %</t>
        </is>
      </c>
      <c r="L2" s="4" t="inlineStr">
        <is>
          <t>R-multiple</t>
        </is>
      </c>
    </row>
    <row r="3">
      <c r="A3" s="5" t="inlineStr">
        <is>
          <t>SNDK</t>
        </is>
      </c>
      <c r="B3" s="5" t="inlineStr">
        <is>
          <t>USD</t>
        </is>
      </c>
      <c r="C3" s="5" t="inlineStr">
        <is>
          <t>profit</t>
        </is>
      </c>
      <c r="D3" s="5" t="inlineStr">
        <is>
          <t>2026-04-13</t>
        </is>
      </c>
      <c r="E3" s="5" t="inlineStr">
        <is>
          <t>2026-05-18</t>
        </is>
      </c>
      <c r="F3" s="5" t="n">
        <v>0.331205</v>
      </c>
      <c r="G3" s="13" t="n">
        <v>903.13</v>
      </c>
      <c r="H3" s="13" t="n">
        <v>1250.83</v>
      </c>
      <c r="I3" s="13" t="n"/>
      <c r="J3" s="13">
        <f>(H3-G3)*F3</f>
        <v/>
      </c>
      <c r="K3" s="25">
        <f>IF(G3&gt;0,(H3-G3)/G3,0)</f>
        <v/>
      </c>
      <c r="L3" s="14">
        <f>IF(AND(ISNUMBER(I3),G3-I3&lt;&gt;0),(H3-G3)/(G3-I3),"")</f>
        <v/>
      </c>
    </row>
    <row r="4">
      <c r="A4" s="5" t="inlineStr">
        <is>
          <t>BSE.NS</t>
        </is>
      </c>
      <c r="B4" s="5" t="inlineStr">
        <is>
          <t>INR</t>
        </is>
      </c>
      <c r="C4" s="5" t="inlineStr">
        <is>
          <t>profit</t>
        </is>
      </c>
      <c r="D4" s="5" t="inlineStr">
        <is>
          <t>2026-04-15</t>
        </is>
      </c>
      <c r="E4" s="5" t="inlineStr">
        <is>
          <t>2026-06-02</t>
        </is>
      </c>
      <c r="F4" s="5" t="n">
        <v>8</v>
      </c>
      <c r="G4" s="13" t="n">
        <v>3415.5</v>
      </c>
      <c r="H4" s="13" t="n">
        <v>3994.53</v>
      </c>
      <c r="I4" s="13" t="n"/>
      <c r="J4" s="13">
        <f>(H4-G4)*F4</f>
        <v/>
      </c>
      <c r="K4" s="25">
        <f>IF(G4&gt;0,(H4-G4)/G4,0)</f>
        <v/>
      </c>
      <c r="L4" s="14">
        <f>IF(AND(ISNUMBER(I4),G4-I4&lt;&gt;0),(H4-G4)/(G4-I4),"")</f>
        <v/>
      </c>
    </row>
    <row r="5">
      <c r="A5" s="5" t="inlineStr">
        <is>
          <t>KRN</t>
        </is>
      </c>
      <c r="B5" s="5" t="inlineStr">
        <is>
          <t>INR</t>
        </is>
      </c>
      <c r="C5" s="5" t="inlineStr">
        <is>
          <t>loss</t>
        </is>
      </c>
      <c r="D5" s="5" t="inlineStr">
        <is>
          <t>2026-04-27</t>
        </is>
      </c>
      <c r="E5" s="5" t="inlineStr">
        <is>
          <t>2026-05-06</t>
        </is>
      </c>
      <c r="F5" s="5" t="n">
        <v>22</v>
      </c>
      <c r="G5" s="13" t="n">
        <v>1310</v>
      </c>
      <c r="H5" s="13" t="n">
        <v>1197.27</v>
      </c>
      <c r="I5" s="13" t="n"/>
      <c r="J5" s="13">
        <f>(H5-G5)*F5</f>
        <v/>
      </c>
      <c r="K5" s="25">
        <f>IF(G5&gt;0,(H5-G5)/G5,0)</f>
        <v/>
      </c>
      <c r="L5" s="14">
        <f>IF(AND(ISNUMBER(I5),G5-I5&lt;&gt;0),(H5-G5)/(G5-I5),"")</f>
        <v/>
      </c>
    </row>
    <row r="6">
      <c r="A6" s="5" t="inlineStr">
        <is>
          <t>CPRX</t>
        </is>
      </c>
      <c r="B6" s="5" t="inlineStr">
        <is>
          <t>USD</t>
        </is>
      </c>
      <c r="C6" s="5" t="inlineStr">
        <is>
          <t>profit</t>
        </is>
      </c>
      <c r="D6" s="5" t="inlineStr">
        <is>
          <t>2026-05-01</t>
        </is>
      </c>
      <c r="E6" s="5" t="inlineStr">
        <is>
          <t>2026-05-15</t>
        </is>
      </c>
      <c r="F6" s="5" t="n">
        <v>7.178445</v>
      </c>
      <c r="G6" s="13" t="n">
        <v>28.03</v>
      </c>
      <c r="H6" s="13" t="n">
        <v>31.14</v>
      </c>
      <c r="I6" s="13" t="n"/>
      <c r="J6" s="13">
        <f>(H6-G6)*F6</f>
        <v/>
      </c>
      <c r="K6" s="25">
        <f>IF(G6&gt;0,(H6-G6)/G6,0)</f>
        <v/>
      </c>
      <c r="L6" s="14">
        <f>IF(AND(ISNUMBER(I6),G6-I6&lt;&gt;0),(H6-G6)/(G6-I6),"")</f>
        <v/>
      </c>
    </row>
    <row r="7">
      <c r="A7" s="5" t="inlineStr">
        <is>
          <t>ATHERENERG</t>
        </is>
      </c>
      <c r="B7" s="5" t="inlineStr">
        <is>
          <t>INR</t>
        </is>
      </c>
      <c r="C7" s="5" t="inlineStr">
        <is>
          <t>profit</t>
        </is>
      </c>
      <c r="D7" s="5" t="inlineStr">
        <is>
          <t>2026-04-28</t>
        </is>
      </c>
      <c r="E7" s="5" t="inlineStr">
        <is>
          <t>2026-06-04</t>
        </is>
      </c>
      <c r="F7" s="5" t="n">
        <v>7</v>
      </c>
      <c r="G7" s="13" t="n">
        <v>960.4</v>
      </c>
      <c r="H7" s="13" t="n">
        <v>979.5</v>
      </c>
      <c r="I7" s="13" t="n"/>
      <c r="J7" s="13">
        <f>(H7-G7)*F7</f>
        <v/>
      </c>
      <c r="K7" s="25">
        <f>IF(G7&gt;0,(H7-G7)/G7,0)</f>
        <v/>
      </c>
      <c r="L7" s="14">
        <f>IF(AND(ISNUMBER(I7),G7-I7&lt;&gt;0),(H7-G7)/(G7-I7),"")</f>
        <v/>
      </c>
    </row>
    <row r="8">
      <c r="A8" s="5" t="inlineStr">
        <is>
          <t>LRCX</t>
        </is>
      </c>
      <c r="B8" s="5" t="inlineStr">
        <is>
          <t>USD</t>
        </is>
      </c>
      <c r="C8" s="5" t="inlineStr">
        <is>
          <t>scratch</t>
        </is>
      </c>
      <c r="D8" s="5" t="inlineStr">
        <is>
          <t>2026-06-09</t>
        </is>
      </c>
      <c r="E8" s="5" t="inlineStr">
        <is>
          <t>2026-07-06</t>
        </is>
      </c>
      <c r="F8" s="5" t="n">
        <v>2</v>
      </c>
      <c r="G8" s="13" t="n">
        <v>346.09</v>
      </c>
      <c r="H8" s="13" t="n">
        <v>346</v>
      </c>
      <c r="I8" s="13" t="n"/>
      <c r="J8" s="13">
        <f>(H8-G8)*F8</f>
        <v/>
      </c>
      <c r="K8" s="25">
        <f>IF(G8&gt;0,(H8-G8)/G8,0)</f>
        <v/>
      </c>
      <c r="L8" s="14">
        <f>IF(AND(ISNUMBER(I8),G8-I8&lt;&gt;0),(H8-G8)/(G8-I8),"")</f>
        <v/>
      </c>
    </row>
    <row r="9">
      <c r="A9" s="5" t="inlineStr">
        <is>
          <t>DATAPATTNS</t>
        </is>
      </c>
      <c r="B9" s="5" t="inlineStr">
        <is>
          <t>INR</t>
        </is>
      </c>
      <c r="C9" s="5" t="inlineStr">
        <is>
          <t>loss</t>
        </is>
      </c>
      <c r="D9" s="5" t="inlineStr">
        <is>
          <t>2026-06-16</t>
        </is>
      </c>
      <c r="E9" s="5" t="inlineStr">
        <is>
          <t>2026-06-29</t>
        </is>
      </c>
      <c r="F9" s="5" t="n">
        <v>10</v>
      </c>
      <c r="G9" s="13" t="n">
        <v>4805</v>
      </c>
      <c r="H9" s="13" t="n">
        <v>4400</v>
      </c>
      <c r="I9" s="13" t="n"/>
      <c r="J9" s="13">
        <f>(H9-G9)*F9</f>
        <v/>
      </c>
      <c r="K9" s="25">
        <f>IF(G9&gt;0,(H9-G9)/G9,0)</f>
        <v/>
      </c>
      <c r="L9" s="14">
        <f>IF(AND(ISNUMBER(I9),G9-I9&lt;&gt;0),(H9-G9)/(G9-I9),"")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>
        <f>IF(F10="","",(H10-G10)*F10)</f>
        <v/>
      </c>
      <c r="K10" s="5">
        <f>IF(G10="","",(H10-G10)/G10)</f>
        <v/>
      </c>
      <c r="L10" s="5">
        <f>IF(OR(I10="",G10-I10=0),"",(H10-G10)/(G10-I10))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>
        <f>IF(F11="","",(H11-G11)*F11)</f>
        <v/>
      </c>
      <c r="K11" s="5">
        <f>IF(G11="","",(H11-G11)/G11)</f>
        <v/>
      </c>
      <c r="L11" s="5">
        <f>IF(OR(I11="",G11-I11=0),"",(H11-G11)/(G11-I11))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>
        <f>IF(F12="","",(H12-G12)*F12)</f>
        <v/>
      </c>
      <c r="K12" s="5">
        <f>IF(G12="","",(H12-G12)/G12)</f>
        <v/>
      </c>
      <c r="L12" s="5">
        <f>IF(OR(I12="",G12-I12=0),"",(H12-G12)/(G12-I12))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>
        <f>IF(F13="","",(H13-G13)*F13)</f>
        <v/>
      </c>
      <c r="K13" s="5">
        <f>IF(G13="","",(H13-G13)/G13)</f>
        <v/>
      </c>
      <c r="L13" s="5">
        <f>IF(OR(I13="",G13-I13=0),"",(H13-G13)/(G13-I13))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>
        <f>IF(F14="","",(H14-G14)*F14)</f>
        <v/>
      </c>
      <c r="K14" s="5">
        <f>IF(G14="","",(H14-G14)/G14)</f>
        <v/>
      </c>
      <c r="L14" s="5">
        <f>IF(OR(I14="",G14-I14=0),"",(H14-G14)/(G14-I14))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>
        <f>IF(F15="","",(H15-G15)*F15)</f>
        <v/>
      </c>
      <c r="K15" s="5">
        <f>IF(G15="","",(H15-G15)/G15)</f>
        <v/>
      </c>
      <c r="L15" s="5">
        <f>IF(OR(I15="",G15-I15=0),"",(H15-G15)/(G15-I15))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>
        <f>IF(F16="","",(H16-G16)*F16)</f>
        <v/>
      </c>
      <c r="K16" s="5">
        <f>IF(G16="","",(H16-G16)/G16)</f>
        <v/>
      </c>
      <c r="L16" s="5">
        <f>IF(OR(I16="",G16-I16=0),"",(H16-G16)/(G16-I16))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>
        <f>IF(F17="","",(H17-G17)*F17)</f>
        <v/>
      </c>
      <c r="K17" s="5">
        <f>IF(G17="","",(H17-G17)/G17)</f>
        <v/>
      </c>
      <c r="L17" s="5">
        <f>IF(OR(I17="",G17-I17=0),"",(H17-G17)/(G17-I17))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>
        <f>IF(F18="","",(H18-G18)*F18)</f>
        <v/>
      </c>
      <c r="K18" s="5">
        <f>IF(G18="","",(H18-G18)/G18)</f>
        <v/>
      </c>
      <c r="L18" s="5">
        <f>IF(OR(I18="",G18-I18=0),"",(H18-G18)/(G18-I18))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>
        <f>IF(F19="","",(H19-G19)*F19)</f>
        <v/>
      </c>
      <c r="K19" s="5">
        <f>IF(G19="","",(H19-G19)/G19)</f>
        <v/>
      </c>
      <c r="L19" s="5">
        <f>IF(OR(I19="",G19-I19=0),"",(H19-G19)/(G19-I19))</f>
        <v/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  <col width="10" customWidth="1" min="5" max="5"/>
    <col width="18" customWidth="1" min="6" max="6"/>
  </cols>
  <sheetData>
    <row r="1">
      <c r="A1" s="26" t="inlineStr">
        <is>
          <t>POSITION SIZING &amp; R:R CALCULATOR</t>
        </is>
      </c>
    </row>
    <row r="2">
      <c r="A2" s="2" t="inlineStr">
        <is>
          <t>Yellow = type your numbers. Blue = auto-computed. Mirrors rr_calc.py.</t>
        </is>
      </c>
    </row>
    <row r="4">
      <c r="A4" s="3" t="inlineStr">
        <is>
          <t>Trade Inputs</t>
        </is>
      </c>
    </row>
    <row r="5">
      <c r="A5" s="27" t="inlineStr">
        <is>
          <t>Entry price</t>
        </is>
      </c>
      <c r="B5" s="28" t="n">
        <v>100</v>
      </c>
    </row>
    <row r="6">
      <c r="A6" s="27" t="inlineStr">
        <is>
          <t>Stop loss</t>
        </is>
      </c>
      <c r="B6" s="28" t="n">
        <v>92</v>
      </c>
    </row>
    <row r="7">
      <c r="A7" s="27" t="inlineStr">
        <is>
          <t>Account / sleeve ₹</t>
        </is>
      </c>
      <c r="B7" s="29" t="n">
        <v>263453</v>
      </c>
    </row>
    <row r="8">
      <c r="A8" s="27" t="inlineStr">
        <is>
          <t>Risk budget %</t>
        </is>
      </c>
      <c r="B8" s="30" t="n">
        <v>2</v>
      </c>
    </row>
    <row r="10">
      <c r="A10" s="3" t="inlineStr">
        <is>
          <t>Position Sizing (from risk budget)</t>
        </is>
      </c>
    </row>
    <row r="11">
      <c r="A11" s="27" t="inlineStr">
        <is>
          <t>Risk per share</t>
        </is>
      </c>
      <c r="B11" s="31">
        <f>B5-B6</f>
        <v/>
      </c>
    </row>
    <row r="12">
      <c r="A12" s="27" t="inlineStr">
        <is>
          <t>Risk % of entry</t>
        </is>
      </c>
      <c r="B12" s="32">
        <f>(B5-B6)/B5</f>
        <v/>
      </c>
    </row>
    <row r="13">
      <c r="A13" s="27" t="inlineStr">
        <is>
          <t>Max ₹ at risk</t>
        </is>
      </c>
      <c r="B13" s="33">
        <f>B7*B8/100</f>
        <v/>
      </c>
    </row>
    <row r="14">
      <c r="A14" s="27" t="inlineStr">
        <is>
          <t>Max shares</t>
        </is>
      </c>
      <c r="B14" s="33">
        <f>IF(B11&gt;0,FLOOR(B13/B11,1),0)</f>
        <v/>
      </c>
    </row>
    <row r="15">
      <c r="A15" s="27" t="inlineStr">
        <is>
          <t>Capital required</t>
        </is>
      </c>
      <c r="B15" s="33">
        <f>B14*B5</f>
        <v/>
      </c>
    </row>
    <row r="16">
      <c r="A16" s="27" t="inlineStr">
        <is>
          <t>% of sleeve deployed</t>
        </is>
      </c>
      <c r="B16" s="34">
        <f>IF(B7&gt;0,B15/B7,0)</f>
        <v/>
      </c>
    </row>
    <row r="18">
      <c r="A18" s="3" t="inlineStr">
        <is>
          <t>25-50-25 Pyramid Split (of max shares)</t>
        </is>
      </c>
    </row>
    <row r="19">
      <c r="A19" s="27" t="inlineStr">
        <is>
          <t>T1 pilot (25%)</t>
        </is>
      </c>
      <c r="B19" s="33">
        <f>FLOOR(B14*0.25,1)</f>
        <v/>
      </c>
    </row>
    <row r="20">
      <c r="A20" s="27" t="inlineStr">
        <is>
          <t>T2 core (50%)</t>
        </is>
      </c>
      <c r="B20" s="33">
        <f>FLOOR(B14*0.5,1)</f>
        <v/>
      </c>
    </row>
    <row r="21">
      <c r="A21" s="27" t="inlineStr">
        <is>
          <t>T3 final (25%)</t>
        </is>
      </c>
      <c r="B21" s="33">
        <f>B14-B19-B20</f>
        <v/>
      </c>
    </row>
    <row r="23">
      <c r="A23" s="3" t="inlineStr">
        <is>
          <t>Targets &amp; Weighted R:R (edit prices + % to sell)</t>
        </is>
      </c>
    </row>
    <row r="24">
      <c r="A24" s="35" t="inlineStr">
        <is>
          <t>Target</t>
        </is>
      </c>
      <c r="B24" s="35" t="inlineStr">
        <is>
          <t>Price</t>
        </is>
      </c>
      <c r="C24" s="35" t="inlineStr">
        <is>
          <t>% of position</t>
        </is>
      </c>
      <c r="D24" s="35" t="inlineStr">
        <is>
          <t>R:R</t>
        </is>
      </c>
      <c r="E24" s="35" t="inlineStr">
        <is>
          <t>Reward %</t>
        </is>
      </c>
      <c r="F24" s="35" t="inlineStr">
        <is>
          <t>P&amp;L ₹ (at max shares)</t>
        </is>
      </c>
    </row>
    <row r="25">
      <c r="A25" s="27" t="inlineStr">
        <is>
          <t>T1</t>
        </is>
      </c>
      <c r="B25" s="28" t="n">
        <v>110</v>
      </c>
      <c r="C25" s="36" t="n">
        <v>33</v>
      </c>
      <c r="D25" s="37">
        <f>IF($B$5-$B$6&gt;0,(B25-$B$5)/($B$5-$B$6),0)</f>
        <v/>
      </c>
      <c r="E25" s="34">
        <f>(B25-$B$5)/$B$5</f>
        <v/>
      </c>
      <c r="F25" s="33">
        <f>(B25-$B$5)*FLOOR($B$14*C25/100,1)</f>
        <v/>
      </c>
    </row>
    <row r="26">
      <c r="A26" s="27" t="inlineStr">
        <is>
          <t>T2</t>
        </is>
      </c>
      <c r="B26" s="28" t="n">
        <v>120</v>
      </c>
      <c r="C26" s="36" t="n">
        <v>33</v>
      </c>
      <c r="D26" s="37">
        <f>IF($B$5-$B$6&gt;0,(B26-$B$5)/($B$5-$B$6),0)</f>
        <v/>
      </c>
      <c r="E26" s="34">
        <f>(B26-$B$5)/$B$5</f>
        <v/>
      </c>
      <c r="F26" s="33">
        <f>(B26-$B$5)*FLOOR($B$14*C26/100,1)</f>
        <v/>
      </c>
    </row>
    <row r="27">
      <c r="A27" s="27" t="inlineStr">
        <is>
          <t>T3</t>
        </is>
      </c>
      <c r="B27" s="28" t="n">
        <v>135</v>
      </c>
      <c r="C27" s="36" t="n">
        <v>34</v>
      </c>
      <c r="D27" s="37">
        <f>IF($B$5-$B$6&gt;0,(B27-$B$5)/($B$5-$B$6),0)</f>
        <v/>
      </c>
      <c r="E27" s="34">
        <f>(B27-$B$5)/$B$5</f>
        <v/>
      </c>
      <c r="F27" s="33">
        <f>(B27-$B$5)*FLOOR($B$14*C27/100,1)</f>
        <v/>
      </c>
    </row>
    <row r="28">
      <c r="A28" s="38" t="inlineStr">
        <is>
          <t>Weighted avg R:R</t>
        </is>
      </c>
      <c r="D28" s="37">
        <f>IF(SUM(C25:C27)&gt;0,SUMPRODUCT(D25:D27,C25:C27)/SUM(C25:C27),0)</f>
        <v/>
      </c>
    </row>
    <row r="29">
      <c r="A29" s="38" t="inlineStr">
        <is>
          <t>Avg exit price</t>
        </is>
      </c>
      <c r="B29" s="31">
        <f>IF(SUM(C25:C27)&gt;0,SUMPRODUCT(B25:B27,C25:C27)/SUM(C25:C27),0)</f>
        <v/>
      </c>
    </row>
    <row r="30">
      <c r="A30" s="38" t="inlineStr">
        <is>
          <t>Full-run P&amp;L ₹</t>
        </is>
      </c>
      <c r="B30" s="33">
        <f>SUM(F25:F27)</f>
        <v/>
      </c>
    </row>
    <row r="31">
      <c r="A31" s="38" t="inlineStr">
        <is>
          <t>Payoff ratio (win/loss)</t>
        </is>
      </c>
      <c r="B31" s="37">
        <f>IF(B13&gt;0,B30/B13,0)</f>
        <v/>
      </c>
    </row>
    <row r="32">
      <c r="A32" s="38" t="inlineStr">
        <is>
          <t>Break-even win rate</t>
        </is>
      </c>
      <c r="B32" s="34">
        <f>IF(B31&gt;0,1/(1+B31),0)</f>
        <v/>
      </c>
    </row>
  </sheetData>
  <mergeCells count="4">
    <mergeCell ref="A10:D10"/>
    <mergeCell ref="A4:D4"/>
    <mergeCell ref="A23:F23"/>
    <mergeCell ref="A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1" customWidth="1" min="4" max="4"/>
    <col width="11" customWidth="1" min="5" max="5"/>
    <col width="13" customWidth="1" min="6" max="6"/>
    <col width="13" customWidth="1" min="7" max="7"/>
    <col width="12" customWidth="1" min="8" max="8"/>
    <col width="9" customWidth="1" min="9" max="9"/>
    <col width="14" customWidth="1" min="10" max="10"/>
  </cols>
  <sheetData>
    <row r="1">
      <c r="A1" s="3" t="inlineStr">
        <is>
          <t>Father's Portfolio — as of 2026-08-12 (LTP refreshed on generation)</t>
        </is>
      </c>
    </row>
    <row r="2">
      <c r="A2" s="4" t="inlineStr">
        <is>
          <t>Symbol</t>
        </is>
      </c>
      <c r="B2" s="4" t="inlineStr">
        <is>
          <t>Name</t>
        </is>
      </c>
      <c r="C2" s="4" t="inlineStr">
        <is>
          <t>Qty</t>
        </is>
      </c>
      <c r="D2" s="4" t="inlineStr">
        <is>
          <t>Avg Cost</t>
        </is>
      </c>
      <c r="E2" s="4" t="inlineStr">
        <is>
          <t>LTP</t>
        </is>
      </c>
      <c r="F2" s="4" t="inlineStr">
        <is>
          <t>Value</t>
        </is>
      </c>
      <c r="G2" s="4" t="inlineStr">
        <is>
          <t>Invested</t>
        </is>
      </c>
      <c r="H2" s="4" t="inlineStr">
        <is>
          <t>P&amp;L</t>
        </is>
      </c>
      <c r="I2" s="4" t="inlineStr">
        <is>
          <t>P&amp;L %</t>
        </is>
      </c>
      <c r="J2" s="4" t="inlineStr">
        <is>
          <t>Action</t>
        </is>
      </c>
    </row>
    <row r="3">
      <c r="A3" s="5" t="inlineStr">
        <is>
          <t>NESTLEIND</t>
        </is>
      </c>
      <c r="B3" s="5" t="inlineStr">
        <is>
          <t>Nestle India</t>
        </is>
      </c>
      <c r="C3" s="5" t="n">
        <v>1700</v>
      </c>
      <c r="D3" s="13" t="n">
        <v>1153.99</v>
      </c>
      <c r="E3" s="13" t="n">
        <v>1507</v>
      </c>
      <c r="F3" s="6" t="n">
        <v>2561900</v>
      </c>
      <c r="G3" s="6" t="n">
        <v>1961784.07</v>
      </c>
      <c r="H3" s="7" t="n">
        <v>600115.9299999999</v>
      </c>
      <c r="I3" s="21" t="n">
        <v>30.59031517163864</v>
      </c>
      <c r="J3" s="39" t="inlineStr">
        <is>
          <t>HOLD</t>
        </is>
      </c>
    </row>
    <row r="4">
      <c r="B4" s="2" t="inlineStr">
        <is>
          <t>↳ Core hold, +30% — FMCG defensive expected to keep performing</t>
        </is>
      </c>
    </row>
    <row r="5">
      <c r="A5" s="5" t="inlineStr">
        <is>
          <t>GILLETTE</t>
        </is>
      </c>
      <c r="B5" s="5" t="inlineStr">
        <is>
          <t>Gillette India</t>
        </is>
      </c>
      <c r="C5" s="5" t="n">
        <v>500</v>
      </c>
      <c r="D5" s="13" t="n">
        <v>9863.440000000001</v>
      </c>
      <c r="E5" s="13" t="n">
        <v>7589.5</v>
      </c>
      <c r="F5" s="6" t="n">
        <v>3794750</v>
      </c>
      <c r="G5" s="6" t="n">
        <v>4931719</v>
      </c>
      <c r="H5" s="22" t="n">
        <v>-1136969</v>
      </c>
      <c r="I5" s="23" t="n">
        <v>-23.05421294278932</v>
      </c>
      <c r="J5" s="40" t="inlineStr">
        <is>
          <t>HOLD_FOR_TLH</t>
        </is>
      </c>
    </row>
    <row r="6">
      <c r="B6" s="2" t="inlineStr">
        <is>
          <t>↳ Deliberate hold: exit to be timed against realized GAINS elsewhere for tax-loss harvesting (~11L loss available to offset). Not a conviction hold.</t>
        </is>
      </c>
    </row>
    <row r="7">
      <c r="A7" s="5" t="inlineStr">
        <is>
          <t>COLPAL</t>
        </is>
      </c>
      <c r="B7" s="5" t="inlineStr">
        <is>
          <t>Colgate-Palmolive (India)</t>
        </is>
      </c>
      <c r="C7" s="5" t="n">
        <v>0</v>
      </c>
      <c r="D7" s="13" t="n">
        <v>2428.21</v>
      </c>
      <c r="E7" s="13" t="n">
        <v>2005</v>
      </c>
      <c r="F7" s="6" t="n"/>
      <c r="G7" s="6" t="n"/>
      <c r="H7" s="6" t="n"/>
      <c r="I7" s="5" t="n"/>
      <c r="J7" s="41" t="inlineStr">
        <is>
          <t>SOLD</t>
        </is>
      </c>
    </row>
    <row r="8">
      <c r="B8" s="2" t="inlineStr">
        <is>
          <t>↳ Fully exited — all 600 units sold Aug 2026. Realized loss ~₹2.5L (confirm exact from contract note)</t>
        </is>
      </c>
    </row>
    <row r="9">
      <c r="B9" s="8" t="inlineStr">
        <is>
          <t>TOTAL</t>
        </is>
      </c>
      <c r="F9" s="9" t="n">
        <v>6356650</v>
      </c>
      <c r="G9" s="9" t="n">
        <v>6893503.07</v>
      </c>
      <c r="H9" s="12" t="n">
        <v>-536853.0700000003</v>
      </c>
    </row>
    <row r="11">
      <c r="A11" s="3" t="inlineStr">
        <is>
          <t>Growth Sleeve — HDFC Securities (father's account)</t>
        </is>
      </c>
    </row>
    <row r="12">
      <c r="A12" s="2" t="inlineStr">
        <is>
          <t>Source: Colgate-Palmolive sale proceeds  |  Pool: ₹1,200,000  |  Risk/trade: 1%  |  Deployed: ₹32,088  |  Cash remaining: ₹1,167,912</t>
        </is>
      </c>
    </row>
    <row r="14">
      <c r="A14" s="3" t="inlineStr">
        <is>
          <t>Active Swing/Growth Positions (managed by Vishesh)</t>
        </is>
      </c>
    </row>
    <row r="15">
      <c r="A15" s="4" t="inlineStr">
        <is>
          <t>Ticker</t>
        </is>
      </c>
      <c r="B15" s="4" t="inlineStr">
        <is>
          <t>Qty</t>
        </is>
      </c>
      <c r="C15" s="4" t="inlineStr">
        <is>
          <t>Entry</t>
        </is>
      </c>
      <c r="D15" s="4" t="inlineStr">
        <is>
          <t>LTP</t>
        </is>
      </c>
      <c r="E15" s="4" t="inlineStr">
        <is>
          <t>Stop</t>
        </is>
      </c>
      <c r="F15" s="4" t="inlineStr">
        <is>
          <t>Next Target</t>
        </is>
      </c>
      <c r="G15" s="4" t="inlineStr">
        <is>
          <t>P&amp;L %</t>
        </is>
      </c>
      <c r="H15" s="4" t="inlineStr">
        <is>
          <t>Risk ₹</t>
        </is>
      </c>
      <c r="I15" s="4" t="inlineStr">
        <is>
          <t>Src</t>
        </is>
      </c>
      <c r="J15" s="4" t="inlineStr">
        <is>
          <t>Status</t>
        </is>
      </c>
    </row>
    <row r="16">
      <c r="A16" s="5" t="inlineStr">
        <is>
          <t>NETWEB</t>
        </is>
      </c>
      <c r="B16" s="5" t="n">
        <v>6</v>
      </c>
      <c r="C16" s="13" t="n">
        <v>5348</v>
      </c>
      <c r="D16" s="13" t="n">
        <v>5292.6</v>
      </c>
      <c r="E16" s="13" t="n">
        <v>5085</v>
      </c>
      <c r="F16" s="13" t="n">
        <v>5800</v>
      </c>
      <c r="G16" s="23" t="n">
        <v>-1.035901271503359</v>
      </c>
      <c r="H16" s="6" t="n">
        <v>1578</v>
      </c>
      <c r="I16" s="5" t="inlineStr">
        <is>
          <t>override</t>
        </is>
      </c>
      <c r="J16" s="5" t="inlineStr">
        <is>
          <t>open</t>
        </is>
      </c>
    </row>
    <row r="17">
      <c r="A17" s="2" t="inlineStr">
        <is>
          <t xml:space="preserve">↳ History: 2026-08-20: First SL-M attempt never fired (was DAY-validity, expired unnoticed) — stock traded through 5,085 on a closing basis and the position stayed open by accident, not by design. Re-underwritten in place: same 5,085 stop level, now a proper GTD SL order (trigger 5,085 / limit 5,050, ~0.69% buffer — tighter than the ~1.5% ATR-based buffer originally suggested; protects fill price, slightly raises non-fill risk on a violent gap — check the order book at open on any sharp down-day). CONFIRM this order shows ACTIVE in HDFC Securities' order book, not just "placed."
</t>
        </is>
      </c>
    </row>
    <row r="18">
      <c r="A18" s="2" t="inlineStr">
        <is>
          <t>↳ Notes: Reverse-pyramid / 25-50-25 plan. Do NOT widen the stop below 5,085. Core/Final tranches remain gated on Nifty 50 reclaiming its 21D EMA.</t>
        </is>
      </c>
    </row>
    <row r="20">
      <c r="A20" s="3" t="inlineStr">
        <is>
          <t>Planned Trades (redeployment of sale proceeds)</t>
        </is>
      </c>
    </row>
    <row r="21">
      <c r="A21" s="2" t="inlineStr">
        <is>
          <t>None yet — ~₹50L expected free after GILLETTE + COLPAL exits. Plan before redeploying.</t>
        </is>
      </c>
    </row>
    <row r="23">
      <c r="A23" s="3" t="inlineStr">
        <is>
          <t>Closed Swing/Growth Journal</t>
        </is>
      </c>
    </row>
    <row r="24">
      <c r="A24" s="2" t="inlineStr">
        <is>
          <t>No closed swing/growth trades yet.</t>
        </is>
      </c>
    </row>
  </sheetData>
  <mergeCells count="10">
    <mergeCell ref="A1:J1"/>
    <mergeCell ref="A23:J23"/>
    <mergeCell ref="A14:J14"/>
    <mergeCell ref="A17:J17"/>
    <mergeCell ref="A18:J18"/>
    <mergeCell ref="B8:J8"/>
    <mergeCell ref="A20:J20"/>
    <mergeCell ref="B4:J4"/>
    <mergeCell ref="B6:J6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2026-08-20T04:57:19Z</dcterms:created>
  <dcterms:modified xsi:type="dcterms:W3CDTF">2026-08-20T04:57:19Z</dcterms:modified>
</cp:coreProperties>
</file>