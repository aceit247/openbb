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0" fontId="0" fillId="4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5" borderId="1" pivotButton="0" quotePrefix="0" xfId="0"/>
    <xf numFmtId="3" fontId="0" fillId="5" borderId="1" pivotButton="0" quotePrefix="0" xfId="0"/>
    <xf numFmtId="168" fontId="0" fillId="5" borderId="1" pivotButton="0" quotePrefix="0" xfId="0"/>
    <xf numFmtId="4" fontId="0" fillId="6" borderId="1" pivotButton="0" quotePrefix="0" xfId="0"/>
    <xf numFmtId="10" fontId="0" fillId="6" borderId="1" pivotButton="0" quotePrefix="0" xfId="0"/>
    <xf numFmtId="3" fontId="0" fillId="6" borderId="1" pivotButton="0" quotePrefix="0" xfId="0"/>
    <xf numFmtId="169" fontId="0" fillId="6" borderId="1" pivotButton="0" quotePrefix="0" xfId="0"/>
    <xf numFmtId="0" fontId="2" fillId="3" borderId="0" pivotButton="0" quotePrefix="0" xfId="0"/>
    <xf numFmtId="1" fontId="0" fillId="5" borderId="1" pivotButton="0" quotePrefix="0" xfId="0"/>
    <xf numFmtId="2" fontId="0" fillId="6" borderId="1" pivotButton="0" quotePrefix="0" xfId="0"/>
    <xf numFmtId="0" fontId="10" fillId="0" borderId="0" pivotButton="0" quotePrefix="0" xfId="0"/>
    <xf numFmtId="0" fontId="11" fillId="7" borderId="1" pivotButton="0" quotePrefix="0" xfId="0"/>
    <xf numFmtId="0" fontId="11" fillId="4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2026-08-18 06:35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4" t="inlineStr">
        <is>
          <t>Ticker</t>
        </is>
      </c>
      <c r="B5" s="4" t="inlineStr">
        <is>
          <t>Plan Qty</t>
        </is>
      </c>
      <c r="C5" s="4" t="inlineStr">
        <is>
          <t>Pilot Entry</t>
        </is>
      </c>
      <c r="D5" s="4" t="inlineStr">
        <is>
          <t>LTP</t>
        </is>
      </c>
      <c r="E5" s="4" t="inlineStr">
        <is>
          <t>Stop</t>
        </is>
      </c>
      <c r="F5" s="4" t="inlineStr">
        <is>
          <t>Pivot</t>
        </is>
      </c>
      <c r="G5" s="4" t="inlineStr">
        <is>
          <t>Dist to Buy Zone</t>
        </is>
      </c>
      <c r="H5" s="4" t="inlineStr">
        <is>
          <t>Risk ₹ (full)</t>
        </is>
      </c>
      <c r="I5" s="4" t="inlineStr">
        <is>
          <t>Src</t>
        </is>
      </c>
    </row>
    <row r="6">
      <c r="A6" s="25" t="inlineStr">
        <is>
          <t>NETWEB</t>
        </is>
      </c>
      <c r="B6" s="25" t="n">
        <v>24</v>
      </c>
      <c r="C6" s="25" t="n">
        <v>5314.05</v>
      </c>
      <c r="D6" s="25" t="n">
        <v>5314.05</v>
      </c>
      <c r="E6" s="25" t="n">
        <v>4825</v>
      </c>
      <c r="F6" s="25" t="n">
        <v>5244</v>
      </c>
      <c r="G6" s="25" t="inlineStr">
        <is>
          <t>IN ZONE</t>
        </is>
      </c>
      <c r="H6" s="25" t="n">
        <v>11737.2</v>
      </c>
      <c r="I6" s="25" t="inlineStr">
        <is>
          <t>override</t>
        </is>
      </c>
    </row>
    <row r="7">
      <c r="A7" s="2" t="inlineStr">
        <is>
          <t>↳ NETWEB: Pilot 6sh now (within 5240-5500 buy range). Core 12sh add on decisive breakout &gt;5500 on above-avg volume, OR 3-5 days holding &gt;5244. Final 6sh at/after T1 (5800), pullback to 10D EMA holds. Stop to breakeven after Core fills; trail 10D/21D EMA after Final.</t>
        </is>
      </c>
    </row>
    <row r="9">
      <c r="A9" s="3" t="inlineStr">
        <is>
          <t>Watchlist / Planned Entries</t>
        </is>
      </c>
    </row>
    <row r="10">
      <c r="A10" s="4" t="inlineStr">
        <is>
          <t>Ticker</t>
        </is>
      </c>
      <c r="B10" s="4" t="inlineStr">
        <is>
          <t>Trigger</t>
        </is>
      </c>
      <c r="C10" s="4" t="inlineStr">
        <is>
          <t>Stop</t>
        </is>
      </c>
      <c r="D10" s="4" t="inlineStr">
        <is>
          <t>Note</t>
        </is>
      </c>
      <c r="E10" s="4" t="inlineStr"/>
      <c r="F10" s="4" t="inlineStr"/>
      <c r="G10" s="4" t="inlineStr"/>
      <c r="H10" s="4" t="inlineStr"/>
      <c r="I10" s="4" t="inlineStr"/>
    </row>
    <row r="11">
      <c r="A11" s="5" t="inlineStr">
        <is>
          <t>POLYCAB</t>
        </is>
      </c>
      <c r="B11" s="5" t="inlineStr">
        <is>
          <t>₹9690 reclaim</t>
        </is>
      </c>
      <c r="C11" s="5" t="inlineStr">
        <is>
          <t>₹9265</t>
        </is>
      </c>
      <c r="D11" s="2" t="inlineStr">
        <is>
          <t>A- setup. Fresh box breakout to ATH 10,126, now pulling back. Enter 25% pilot on reclaim of 10D EMA 9,690. Add 50% above 10,126. Invalidate below 50D 9,265.</t>
        </is>
      </c>
    </row>
    <row r="12">
      <c r="A12" s="5" t="inlineStr">
        <is>
          <t>ACUTAAS</t>
        </is>
      </c>
      <c r="B12" s="5" t="inlineStr">
        <is>
          <t>₹3333 pullback</t>
        </is>
      </c>
      <c r="C12" s="5" t="inlineStr">
        <is>
          <t>₹3070</t>
        </is>
      </c>
      <c r="D12" s="2" t="inlineStr">
        <is>
          <t>WAIT — extended late-stage (box 5+), weekly reversal -4.9%. Only on orderly pullback to 21D ~3,333 holding. Never chase above 3,600.</t>
        </is>
      </c>
    </row>
    <row r="13">
      <c r="A13" s="5" t="inlineStr">
        <is>
          <t>RSI</t>
        </is>
      </c>
      <c r="B13" s="5" t="inlineStr">
        <is>
          <t>$29.69-30.00</t>
        </is>
      </c>
      <c r="C13" s="5" t="inlineStr">
        <is>
          <t>$29.24</t>
        </is>
      </c>
      <c r="D13" s="2" t="inlineStr">
        <is>
          <t>US gaming. Pullback entry to Darvas trail. Skip on close below 29.24.</t>
        </is>
      </c>
    </row>
    <row r="14">
      <c r="A14" s="5" t="inlineStr">
        <is>
          <t>STX</t>
        </is>
      </c>
      <c r="B14" s="5" t="inlineStr">
        <is>
          <t>$475-510</t>
        </is>
      </c>
      <c r="C14" s="5" t="inlineStr">
        <is>
          <t>$448</t>
        </is>
      </c>
      <c r="D14" s="2" t="inlineStr">
        <is>
          <t>US semis. B+ setup — RE-CHECK after global chip selloff before acting.</t>
        </is>
      </c>
    </row>
    <row r="15">
      <c r="A15" s="5" t="inlineStr">
        <is>
          <t>WAAREEENER</t>
        </is>
      </c>
      <c r="B15" s="5" t="inlineStr">
        <is>
          <t>₹3080-3120</t>
        </is>
      </c>
      <c r="C15" s="5" t="inlineStr">
        <is>
          <t>₹2960</t>
        </is>
      </c>
      <c r="D15" s="2" t="inlineStr">
        <is>
          <t>B- setup. Wait for ATH &gt;3800.</t>
        </is>
      </c>
    </row>
    <row r="16">
      <c r="A16" s="5" t="inlineStr">
        <is>
          <t>LAURUSLABS</t>
        </is>
      </c>
      <c r="B16" s="5" t="inlineStr">
        <is>
          <t>₹1280-1320</t>
        </is>
      </c>
      <c r="C16" s="5" t="inlineStr">
        <is>
          <t>₹1177</t>
        </is>
      </c>
      <c r="D16" s="2" t="inlineStr">
        <is>
          <t>C+ setup — WAIT. Extended. Only on pullback to 10W EMA ~1280. Remove if closes below 21W 1177.</t>
        </is>
      </c>
    </row>
    <row r="17">
      <c r="A17" s="5" t="inlineStr">
        <is>
          <t>NIFTY</t>
        </is>
      </c>
      <c r="B17" s="5" t="inlineStr"/>
      <c r="C17" s="5" t="inlineStr"/>
      <c r="D17" s="2" t="inlineStr">
        <is>
          <t>Regime gauge — exit longs if loses 21D EMA</t>
        </is>
      </c>
    </row>
    <row r="18">
      <c r="A18" s="5" t="inlineStr">
        <is>
          <t>QQQ</t>
        </is>
      </c>
      <c r="B18" s="5" t="inlineStr"/>
      <c r="C18" s="5" t="inlineStr"/>
      <c r="D18" s="2" t="inlineStr">
        <is>
          <t>US regime gauge — chip selloff in progress, watch for follow-through distribution</t>
        </is>
      </c>
    </row>
    <row r="20">
      <c r="A20" s="3" t="inlineStr">
        <is>
          <t>Closed Trade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Hold Days</t>
        </is>
      </c>
      <c r="H21" s="4" t="inlineStr"/>
      <c r="I21" s="4" t="inlineStr"/>
    </row>
    <row r="22">
      <c r="A22" s="5" t="inlineStr">
        <is>
          <t>SNDK</t>
        </is>
      </c>
      <c r="B22" s="5" t="inlineStr">
        <is>
          <t>profit</t>
        </is>
      </c>
      <c r="C22" s="5" t="n">
        <v>903.13</v>
      </c>
      <c r="D22" s="5" t="n">
        <v>1250.83</v>
      </c>
      <c r="E22" s="5" t="inlineStr">
        <is>
          <t>$113</t>
        </is>
      </c>
      <c r="F22" s="21" t="n">
        <v>37.7</v>
      </c>
      <c r="G22" s="5" t="n">
        <v>35</v>
      </c>
    </row>
    <row r="23">
      <c r="A23" s="5" t="inlineStr">
        <is>
          <t>BSE.NS</t>
        </is>
      </c>
      <c r="B23" s="5" t="inlineStr">
        <is>
          <t>profit</t>
        </is>
      </c>
      <c r="C23" s="5" t="n">
        <v>3415.5</v>
      </c>
      <c r="D23" s="5" t="n">
        <v>3994.53</v>
      </c>
      <c r="E23" s="5" t="inlineStr">
        <is>
          <t>₹4,632</t>
        </is>
      </c>
      <c r="F23" s="21" t="n">
        <v>17</v>
      </c>
      <c r="G23" s="5" t="n">
        <v>48</v>
      </c>
    </row>
    <row r="24">
      <c r="A24" s="5" t="inlineStr">
        <is>
          <t>KRN</t>
        </is>
      </c>
      <c r="B24" s="5" t="inlineStr">
        <is>
          <t>loss</t>
        </is>
      </c>
      <c r="C24" s="5" t="n">
        <v>1310</v>
      </c>
      <c r="D24" s="5" t="n">
        <v>1197.27</v>
      </c>
      <c r="E24" s="5" t="inlineStr">
        <is>
          <t>₹-2,480</t>
        </is>
      </c>
      <c r="F24" s="23" t="n">
        <v>-8.6</v>
      </c>
      <c r="G24" s="5" t="n">
        <v>9</v>
      </c>
    </row>
    <row r="25">
      <c r="A25" s="5" t="inlineStr">
        <is>
          <t>CPRX</t>
        </is>
      </c>
      <c r="B25" s="5" t="inlineStr">
        <is>
          <t>profit</t>
        </is>
      </c>
      <c r="C25" s="5" t="n">
        <v>28.03</v>
      </c>
      <c r="D25" s="5" t="n">
        <v>31.14</v>
      </c>
      <c r="E25" s="5" t="inlineStr">
        <is>
          <t>$21</t>
        </is>
      </c>
      <c r="F25" s="21" t="n">
        <v>10.4</v>
      </c>
      <c r="G25" s="5" t="n">
        <v>14</v>
      </c>
    </row>
    <row r="26">
      <c r="A26" s="5" t="inlineStr">
        <is>
          <t>ATHERENERG</t>
        </is>
      </c>
      <c r="B26" s="5" t="inlineStr">
        <is>
          <t>profit</t>
        </is>
      </c>
      <c r="C26" s="5" t="n">
        <v>960.4</v>
      </c>
      <c r="D26" s="5" t="n">
        <v>979.5</v>
      </c>
      <c r="E26" s="5" t="inlineStr">
        <is>
          <t>₹134</t>
        </is>
      </c>
      <c r="F26" s="21" t="n">
        <v>2</v>
      </c>
      <c r="G26" s="5" t="n">
        <v>37</v>
      </c>
    </row>
    <row r="27">
      <c r="A27" s="5" t="inlineStr">
        <is>
          <t>LRCX</t>
        </is>
      </c>
      <c r="B27" s="5" t="inlineStr">
        <is>
          <t>scratch</t>
        </is>
      </c>
      <c r="C27" s="5" t="n">
        <v>346.09</v>
      </c>
      <c r="D27" s="5" t="n">
        <v>346</v>
      </c>
      <c r="E27" s="5" t="inlineStr">
        <is>
          <t>$-0</t>
        </is>
      </c>
      <c r="F27" s="23" t="n">
        <v>-0.03</v>
      </c>
      <c r="G27" s="5" t="n">
        <v>27</v>
      </c>
    </row>
    <row r="28">
      <c r="A28" s="5" t="inlineStr">
        <is>
          <t>DATAPATTNS</t>
        </is>
      </c>
      <c r="B28" s="5" t="inlineStr">
        <is>
          <t>loss</t>
        </is>
      </c>
      <c r="C28" s="5" t="n">
        <v>4805</v>
      </c>
      <c r="D28" s="5" t="n">
        <v>4400</v>
      </c>
      <c r="E28" s="5" t="inlineStr">
        <is>
          <t>₹-4,050</t>
        </is>
      </c>
      <c r="F28" s="23" t="n">
        <v>-8.4</v>
      </c>
      <c r="G28" s="5" t="n"/>
    </row>
  </sheetData>
  <mergeCells count="13">
    <mergeCell ref="A7:I7"/>
    <mergeCell ref="D11:I11"/>
    <mergeCell ref="D13:I13"/>
    <mergeCell ref="D14:I14"/>
    <mergeCell ref="D18:I18"/>
    <mergeCell ref="A1:I1"/>
    <mergeCell ref="D17:I17"/>
    <mergeCell ref="A9:I9"/>
    <mergeCell ref="D12:I12"/>
    <mergeCell ref="D16:I16"/>
    <mergeCell ref="A4:I4"/>
    <mergeCell ref="A20:I20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6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6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6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6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6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6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6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7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8" t="inlineStr">
        <is>
          <t>Entry price</t>
        </is>
      </c>
      <c r="B5" s="29" t="n">
        <v>100</v>
      </c>
    </row>
    <row r="6">
      <c r="A6" s="28" t="inlineStr">
        <is>
          <t>Stop loss</t>
        </is>
      </c>
      <c r="B6" s="29" t="n">
        <v>92</v>
      </c>
    </row>
    <row r="7">
      <c r="A7" s="28" t="inlineStr">
        <is>
          <t>Account / sleeve ₹</t>
        </is>
      </c>
      <c r="B7" s="30" t="n">
        <v>263453</v>
      </c>
    </row>
    <row r="8">
      <c r="A8" s="28" t="inlineStr">
        <is>
          <t>Risk budget %</t>
        </is>
      </c>
      <c r="B8" s="31" t="n">
        <v>2</v>
      </c>
    </row>
    <row r="10">
      <c r="A10" s="3" t="inlineStr">
        <is>
          <t>Position Sizing (from risk budget)</t>
        </is>
      </c>
    </row>
    <row r="11">
      <c r="A11" s="28" t="inlineStr">
        <is>
          <t>Risk per share</t>
        </is>
      </c>
      <c r="B11" s="32">
        <f>B5-B6</f>
        <v/>
      </c>
    </row>
    <row r="12">
      <c r="A12" s="28" t="inlineStr">
        <is>
          <t>Risk % of entry</t>
        </is>
      </c>
      <c r="B12" s="33">
        <f>(B5-B6)/B5</f>
        <v/>
      </c>
    </row>
    <row r="13">
      <c r="A13" s="28" t="inlineStr">
        <is>
          <t>Max ₹ at risk</t>
        </is>
      </c>
      <c r="B13" s="34">
        <f>B7*B8/100</f>
        <v/>
      </c>
    </row>
    <row r="14">
      <c r="A14" s="28" t="inlineStr">
        <is>
          <t>Max shares</t>
        </is>
      </c>
      <c r="B14" s="34">
        <f>IF(B11&gt;0,FLOOR(B13/B11,1),0)</f>
        <v/>
      </c>
    </row>
    <row r="15">
      <c r="A15" s="28" t="inlineStr">
        <is>
          <t>Capital required</t>
        </is>
      </c>
      <c r="B15" s="34">
        <f>B14*B5</f>
        <v/>
      </c>
    </row>
    <row r="16">
      <c r="A16" s="28" t="inlineStr">
        <is>
          <t>% of sleeve deployed</t>
        </is>
      </c>
      <c r="B16" s="35">
        <f>IF(B7&gt;0,B15/B7,0)</f>
        <v/>
      </c>
    </row>
    <row r="18">
      <c r="A18" s="3" t="inlineStr">
        <is>
          <t>25-50-25 Pyramid Split (of max shares)</t>
        </is>
      </c>
    </row>
    <row r="19">
      <c r="A19" s="28" t="inlineStr">
        <is>
          <t>T1 pilot (25%)</t>
        </is>
      </c>
      <c r="B19" s="34">
        <f>FLOOR(B14*0.25,1)</f>
        <v/>
      </c>
    </row>
    <row r="20">
      <c r="A20" s="28" t="inlineStr">
        <is>
          <t>T2 core (50%)</t>
        </is>
      </c>
      <c r="B20" s="34">
        <f>FLOOR(B14*0.5,1)</f>
        <v/>
      </c>
    </row>
    <row r="21">
      <c r="A21" s="28" t="inlineStr">
        <is>
          <t>T3 final (25%)</t>
        </is>
      </c>
      <c r="B21" s="34">
        <f>B14-B19-B20</f>
        <v/>
      </c>
    </row>
    <row r="23">
      <c r="A23" s="3" t="inlineStr">
        <is>
          <t>Targets &amp; Weighted R:R (edit prices + % to sell)</t>
        </is>
      </c>
    </row>
    <row r="24">
      <c r="A24" s="36" t="inlineStr">
        <is>
          <t>Target</t>
        </is>
      </c>
      <c r="B24" s="36" t="inlineStr">
        <is>
          <t>Price</t>
        </is>
      </c>
      <c r="C24" s="36" t="inlineStr">
        <is>
          <t>% of position</t>
        </is>
      </c>
      <c r="D24" s="36" t="inlineStr">
        <is>
          <t>R:R</t>
        </is>
      </c>
      <c r="E24" s="36" t="inlineStr">
        <is>
          <t>Reward %</t>
        </is>
      </c>
      <c r="F24" s="36" t="inlineStr">
        <is>
          <t>P&amp;L ₹ (at max shares)</t>
        </is>
      </c>
    </row>
    <row r="25">
      <c r="A25" s="28" t="inlineStr">
        <is>
          <t>T1</t>
        </is>
      </c>
      <c r="B25" s="29" t="n">
        <v>110</v>
      </c>
      <c r="C25" s="37" t="n">
        <v>33</v>
      </c>
      <c r="D25" s="38">
        <f>IF($B$5-$B$6&gt;0,(B25-$B$5)/($B$5-$B$6),0)</f>
        <v/>
      </c>
      <c r="E25" s="35">
        <f>(B25-$B$5)/$B$5</f>
        <v/>
      </c>
      <c r="F25" s="34">
        <f>(B25-$B$5)*FLOOR($B$14*C25/100,1)</f>
        <v/>
      </c>
    </row>
    <row r="26">
      <c r="A26" s="28" t="inlineStr">
        <is>
          <t>T2</t>
        </is>
      </c>
      <c r="B26" s="29" t="n">
        <v>120</v>
      </c>
      <c r="C26" s="37" t="n">
        <v>33</v>
      </c>
      <c r="D26" s="38">
        <f>IF($B$5-$B$6&gt;0,(B26-$B$5)/($B$5-$B$6),0)</f>
        <v/>
      </c>
      <c r="E26" s="35">
        <f>(B26-$B$5)/$B$5</f>
        <v/>
      </c>
      <c r="F26" s="34">
        <f>(B26-$B$5)*FLOOR($B$14*C26/100,1)</f>
        <v/>
      </c>
    </row>
    <row r="27">
      <c r="A27" s="28" t="inlineStr">
        <is>
          <t>T3</t>
        </is>
      </c>
      <c r="B27" s="29" t="n">
        <v>135</v>
      </c>
      <c r="C27" s="37" t="n">
        <v>34</v>
      </c>
      <c r="D27" s="38">
        <f>IF($B$5-$B$6&gt;0,(B27-$B$5)/($B$5-$B$6),0)</f>
        <v/>
      </c>
      <c r="E27" s="35">
        <f>(B27-$B$5)/$B$5</f>
        <v/>
      </c>
      <c r="F27" s="34">
        <f>(B27-$B$5)*FLOOR($B$14*C27/100,1)</f>
        <v/>
      </c>
    </row>
    <row r="28">
      <c r="A28" s="39" t="inlineStr">
        <is>
          <t>Weighted avg R:R</t>
        </is>
      </c>
      <c r="D28" s="38">
        <f>IF(SUM(C25:C27)&gt;0,SUMPRODUCT(D25:D27,C25:C27)/SUM(C25:C27),0)</f>
        <v/>
      </c>
    </row>
    <row r="29">
      <c r="A29" s="39" t="inlineStr">
        <is>
          <t>Avg exit price</t>
        </is>
      </c>
      <c r="B29" s="32">
        <f>IF(SUM(C25:C27)&gt;0,SUMPRODUCT(B25:B27,C25:C27)/SUM(C25:C27),0)</f>
        <v/>
      </c>
    </row>
    <row r="30">
      <c r="A30" s="39" t="inlineStr">
        <is>
          <t>Full-run P&amp;L ₹</t>
        </is>
      </c>
      <c r="B30" s="34">
        <f>SUM(F25:F27)</f>
        <v/>
      </c>
    </row>
    <row r="31">
      <c r="A31" s="39" t="inlineStr">
        <is>
          <t>Payoff ratio (win/loss)</t>
        </is>
      </c>
      <c r="B31" s="38">
        <f>IF(B13&gt;0,B30/B13,0)</f>
        <v/>
      </c>
    </row>
    <row r="32">
      <c r="A32" s="39" t="inlineStr">
        <is>
          <t>Break-even win rate</t>
        </is>
      </c>
      <c r="B32" s="35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40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1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2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Planned Trades (redeployment of sale proceeds)</t>
        </is>
      </c>
    </row>
    <row r="12">
      <c r="A12" s="2" t="inlineStr">
        <is>
          <t>None yet — ~₹50L expected free after GILLETTE + COLPAL exits. Plan before redeploying.</t>
        </is>
      </c>
    </row>
  </sheetData>
  <mergeCells count="5">
    <mergeCell ref="A1:J1"/>
    <mergeCell ref="B8:J8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2026-08-18T06:35:47Z</dcterms:created>
  <dcterms:modified xsi:type="dcterms:W3CDTF">2026-08-18T06:35:47Z</dcterms:modified>
</cp:coreProperties>
</file>