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2026-08-12 10:58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710024.14</v>
      </c>
      <c r="C6" s="6" t="n">
        <v>1125839.86</v>
      </c>
      <c r="D6" s="7" t="n">
        <v>415815.7199999999</v>
      </c>
    </row>
    <row r="7">
      <c r="A7" s="5" t="inlineStr">
        <is>
          <t>Stocks (IN)</t>
        </is>
      </c>
      <c r="B7" s="6" t="n"/>
      <c r="C7" s="6" t="n">
        <v>58746.05</v>
      </c>
      <c r="D7" s="6" t="n"/>
    </row>
    <row r="8">
      <c r="A8" s="5" t="inlineStr">
        <is>
          <t>Mutual Funds</t>
        </is>
      </c>
      <c r="B8" s="6" t="n">
        <v>786461</v>
      </c>
      <c r="C8" s="6" t="n">
        <v>800278</v>
      </c>
      <c r="D8" s="7" t="n">
        <v>13817</v>
      </c>
    </row>
    <row r="9">
      <c r="A9" s="5" t="inlineStr">
        <is>
          <t>US Holdings</t>
        </is>
      </c>
      <c r="B9" s="6" t="n">
        <v>747207</v>
      </c>
      <c r="C9" s="6" t="n">
        <v>838949</v>
      </c>
      <c r="D9" s="7" t="n">
        <v>91742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2386118.14</v>
      </c>
      <c r="C11" s="9" t="n">
        <v>2966238.91</v>
      </c>
      <c r="D11" s="10" t="n">
        <v>580120.77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467</v>
      </c>
      <c r="D3" s="13" t="n">
        <v>269.95</v>
      </c>
      <c r="E3" s="13" t="n">
        <v>278.32</v>
      </c>
      <c r="F3" s="14" t="n">
        <v>-0.29</v>
      </c>
      <c r="G3" s="13" t="n">
        <v>126066.65</v>
      </c>
      <c r="H3" s="13" t="n">
        <v>129975.44</v>
      </c>
      <c r="I3" s="15" t="n">
        <v>3908.790000000008</v>
      </c>
      <c r="J3" s="16" t="n">
        <v>3.100574180403785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178</v>
      </c>
      <c r="D4" s="13" t="n">
        <v>566.62</v>
      </c>
      <c r="E4" s="13" t="n">
        <v>599.01</v>
      </c>
      <c r="F4" s="14" t="n">
        <v>0.7</v>
      </c>
      <c r="G4" s="13" t="n">
        <v>100858.36</v>
      </c>
      <c r="H4" s="13" t="n">
        <v>106623.78</v>
      </c>
      <c r="I4" s="15" t="n">
        <v>5765.419999999998</v>
      </c>
      <c r="J4" s="16" t="n">
        <v>5.716353111432705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109</v>
      </c>
      <c r="D5" s="13" t="n">
        <v>717.64</v>
      </c>
      <c r="E5" s="13" t="n">
        <v>806.3099999999999</v>
      </c>
      <c r="F5" s="14" t="n">
        <v>-0.17</v>
      </c>
      <c r="G5" s="13" t="n">
        <v>78222.75999999999</v>
      </c>
      <c r="H5" s="13" t="n">
        <v>87887.78999999999</v>
      </c>
      <c r="I5" s="15" t="n">
        <v>9665.029999999999</v>
      </c>
      <c r="J5" s="16" t="n">
        <v>12.35577726994036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268</v>
      </c>
      <c r="D6" s="13" t="n">
        <v>239.98</v>
      </c>
      <c r="E6" s="13" t="n">
        <v>225.76</v>
      </c>
      <c r="F6" s="14" t="n">
        <v>1.55</v>
      </c>
      <c r="G6" s="13" t="n">
        <v>64314.64</v>
      </c>
      <c r="H6" s="13" t="n">
        <v>60503.68</v>
      </c>
      <c r="I6" s="18" t="n">
        <v>-3810.959999999999</v>
      </c>
      <c r="J6" s="19" t="n">
        <v>-5.925493791149261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215</v>
      </c>
      <c r="D7" s="13" t="n">
        <v>217.93</v>
      </c>
      <c r="E7" s="13" t="n">
        <v>242.77</v>
      </c>
      <c r="F7" s="14" t="n">
        <v>-0.02</v>
      </c>
      <c r="G7" s="13" t="n">
        <v>46854.95</v>
      </c>
      <c r="H7" s="13" t="n">
        <v>52195.55</v>
      </c>
      <c r="I7" s="15" t="n">
        <v>5340.599999999999</v>
      </c>
      <c r="J7" s="16" t="n">
        <v>11.39815537099068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772</v>
      </c>
      <c r="D9" s="13" t="n">
        <v>32.75</v>
      </c>
      <c r="E9" s="13" t="n">
        <v>34.65</v>
      </c>
      <c r="F9" s="14" t="n">
        <v>-1.67</v>
      </c>
      <c r="G9" s="13" t="n">
        <v>25283</v>
      </c>
      <c r="H9" s="13" t="n">
        <v>26749.8</v>
      </c>
      <c r="I9" s="15" t="n">
        <v>1466.799999999999</v>
      </c>
      <c r="J9" s="16" t="n">
        <v>5.801526717557249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498554.21</v>
      </c>
      <c r="H11" s="9" t="n">
        <v>524122.69</v>
      </c>
      <c r="I11" s="20" t="n">
        <v>25568.47999999998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119</v>
      </c>
      <c r="D15" s="13" t="n">
        <v>482.48</v>
      </c>
      <c r="E15" s="13" t="n">
        <v>494.68</v>
      </c>
      <c r="F15" s="14" t="n">
        <v>-0.18</v>
      </c>
      <c r="G15" s="13" t="n">
        <v>57415.12</v>
      </c>
      <c r="H15" s="13" t="n">
        <v>58866.92</v>
      </c>
      <c r="I15" s="15" t="n">
        <v>1451.799999999996</v>
      </c>
      <c r="J15" s="16" t="n">
        <v>2.528602221853748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102</v>
      </c>
      <c r="D16" s="13" t="n">
        <v>429.56</v>
      </c>
      <c r="E16" s="13" t="n">
        <v>439.47</v>
      </c>
      <c r="F16" s="14" t="n">
        <v>-0.11</v>
      </c>
      <c r="G16" s="13" t="n">
        <v>43815.12</v>
      </c>
      <c r="H16" s="13" t="n">
        <v>44825.94</v>
      </c>
      <c r="I16" s="15" t="n">
        <v>1010.82</v>
      </c>
      <c r="J16" s="16" t="n">
        <v>2.307011826054567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129</v>
      </c>
      <c r="D17" s="13" t="n">
        <v>327.73</v>
      </c>
      <c r="E17" s="13" t="n">
        <v>345.68</v>
      </c>
      <c r="F17" s="14" t="n">
        <v>0.21</v>
      </c>
      <c r="G17" s="13" t="n">
        <v>42277.17000000001</v>
      </c>
      <c r="H17" s="13" t="n">
        <v>44592.72</v>
      </c>
      <c r="I17" s="15" t="n">
        <v>2315.549999999996</v>
      </c>
      <c r="J17" s="16" t="n">
        <v>5.477069538949734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230</v>
      </c>
      <c r="D18" s="13" t="n">
        <v>155.5</v>
      </c>
      <c r="E18" s="13" t="n">
        <v>166.93</v>
      </c>
      <c r="F18" s="14" t="n">
        <v>-0.88</v>
      </c>
      <c r="G18" s="13" t="n">
        <v>35765</v>
      </c>
      <c r="H18" s="13" t="n">
        <v>38393.9</v>
      </c>
      <c r="I18" s="15" t="n">
        <v>2628.900000000001</v>
      </c>
      <c r="J18" s="16" t="n">
        <v>7.350482315112544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268</v>
      </c>
      <c r="D19" s="13" t="n">
        <v>120.14</v>
      </c>
      <c r="E19" s="13" t="n">
        <v>116.46</v>
      </c>
      <c r="F19" s="14" t="n"/>
      <c r="G19" s="13" t="n">
        <v>32197.52</v>
      </c>
      <c r="H19" s="13" t="n">
        <v>31211.28</v>
      </c>
      <c r="I19" s="18" t="n">
        <v>-986.2400000000016</v>
      </c>
      <c r="J19" s="19" t="n">
        <v>-3.06309305809889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211469.93</v>
      </c>
      <c r="H20" s="9" t="n">
        <v>217890.76</v>
      </c>
      <c r="I20" s="20" t="n">
        <v>6420.830000000016</v>
      </c>
    </row>
    <row r="22">
      <c r="A22" s="3" t="inlineStr">
        <is>
          <t>INDmoney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/>
      <c r="E24" s="13" t="n">
        <v>278.32</v>
      </c>
      <c r="F24" s="14" t="n">
        <v>-0.29</v>
      </c>
      <c r="G24" s="13" t="n"/>
      <c r="H24" s="13" t="n">
        <v>85444.23999999999</v>
      </c>
      <c r="I24" s="13" t="n"/>
      <c r="J24" s="14" t="n"/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/>
      <c r="E25" s="13" t="n">
        <v>806.3099999999999</v>
      </c>
      <c r="F25" s="14" t="n">
        <v>-0.17</v>
      </c>
      <c r="G25" s="13" t="n"/>
      <c r="H25" s="13" t="n">
        <v>74986.83</v>
      </c>
      <c r="I25" s="13" t="n"/>
      <c r="J25" s="14" t="n"/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/>
      <c r="E26" s="13" t="n">
        <v>126.45</v>
      </c>
      <c r="F26" s="14" t="n">
        <v>0.74</v>
      </c>
      <c r="G26" s="13" t="n"/>
      <c r="H26" s="13" t="n">
        <v>69547.5</v>
      </c>
      <c r="I26" s="13" t="n"/>
      <c r="J26" s="14" t="n"/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/>
      <c r="E27" s="13" t="n">
        <v>225.76</v>
      </c>
      <c r="F27" s="14" t="n">
        <v>1.55</v>
      </c>
      <c r="G27" s="13" t="n"/>
      <c r="H27" s="13" t="n">
        <v>107236</v>
      </c>
      <c r="I27" s="13" t="n"/>
      <c r="J27" s="14" t="n"/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/>
      <c r="E28" s="13" t="n">
        <v>242.77</v>
      </c>
      <c r="F28" s="14" t="n">
        <v>-0.02</v>
      </c>
      <c r="G28" s="13" t="n"/>
      <c r="H28" s="13" t="n">
        <v>46611.84</v>
      </c>
      <c r="I28" s="13" t="n"/>
      <c r="J28" s="14" t="n"/>
      <c r="K28" s="17" t="inlineStr">
        <is>
          <t>override</t>
        </is>
      </c>
    </row>
    <row r="29">
      <c r="B29" s="8" t="inlineStr">
        <is>
          <t>Subtotal</t>
        </is>
      </c>
      <c r="G29" s="9" t="n"/>
      <c r="H29" s="9" t="n">
        <v>383826.41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INDmoney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/>
      <c r="E3" s="13" t="n">
        <v>1078.5</v>
      </c>
      <c r="F3" s="14" t="n">
        <v>2.8</v>
      </c>
      <c r="G3" s="13" t="n"/>
      <c r="H3" s="13" t="n">
        <v>24805.5</v>
      </c>
      <c r="I3" s="13" t="n"/>
      <c r="J3" s="14" t="n"/>
      <c r="K3" s="17" t="inlineStr">
        <is>
          <t>override</t>
        </is>
      </c>
    </row>
    <row r="4">
      <c r="A4" s="5" t="inlineStr">
        <is>
          <t>GULFPETRO</t>
        </is>
      </c>
      <c r="B4" s="5" t="inlineStr">
        <is>
          <t>Gulf Oil Lubricants</t>
        </is>
      </c>
      <c r="C4" s="5" t="n">
        <v>13</v>
      </c>
      <c r="D4" s="13" t="n"/>
      <c r="E4" s="13" t="n">
        <v>939.35</v>
      </c>
      <c r="F4" s="14" t="n"/>
      <c r="G4" s="13" t="n"/>
      <c r="H4" s="13" t="n">
        <v>12211.55</v>
      </c>
      <c r="I4" s="13" t="n"/>
      <c r="J4" s="14" t="n"/>
      <c r="K4" s="17" t="inlineStr">
        <is>
          <t>cached</t>
        </is>
      </c>
    </row>
    <row r="5">
      <c r="A5" s="5" t="inlineStr">
        <is>
          <t>SONACOMS</t>
        </is>
      </c>
      <c r="B5" s="5" t="inlineStr">
        <is>
          <t>Sona BLW Precision</t>
        </is>
      </c>
      <c r="C5" s="5" t="n">
        <v>15</v>
      </c>
      <c r="D5" s="13" t="n"/>
      <c r="E5" s="13" t="n">
        <v>804.5</v>
      </c>
      <c r="F5" s="14" t="n">
        <v>0.5600000000000001</v>
      </c>
      <c r="G5" s="13" t="n"/>
      <c r="H5" s="13" t="n">
        <v>12067.5</v>
      </c>
      <c r="I5" s="13" t="n"/>
      <c r="J5" s="14" t="n"/>
      <c r="K5" s="17" t="inlineStr">
        <is>
          <t>override</t>
        </is>
      </c>
    </row>
    <row r="6">
      <c r="A6" s="5" t="inlineStr">
        <is>
          <t>MOTHERSON</t>
        </is>
      </c>
      <c r="B6" s="5" t="inlineStr">
        <is>
          <t>Samvardhana Motherson</t>
        </is>
      </c>
      <c r="C6" s="5" t="n">
        <v>57</v>
      </c>
      <c r="D6" s="13" t="n"/>
      <c r="E6" s="13" t="n">
        <v>169.5</v>
      </c>
      <c r="F6" s="14" t="n">
        <v>0.14</v>
      </c>
      <c r="G6" s="13" t="n"/>
      <c r="H6" s="13" t="n">
        <v>9661.5</v>
      </c>
      <c r="I6" s="13" t="n"/>
      <c r="J6" s="14" t="n"/>
      <c r="K6" s="17" t="inlineStr">
        <is>
          <t>override</t>
        </is>
      </c>
    </row>
    <row r="7">
      <c r="B7" s="8" t="inlineStr">
        <is>
          <t>Subtotal</t>
        </is>
      </c>
      <c r="G7" s="9" t="n"/>
      <c r="H7" s="9" t="n">
        <v>58746.05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3544.41</v>
      </c>
      <c r="C3" s="13" t="n">
        <v>47.94</v>
      </c>
      <c r="D3" s="6" t="n">
        <v>162492</v>
      </c>
      <c r="E3" s="6" t="n">
        <v>169926</v>
      </c>
      <c r="F3" s="7" t="n">
        <v>7434</v>
      </c>
      <c r="G3" s="21" t="n">
        <v>4.574994461265786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441.96</v>
      </c>
      <c r="C4" s="13" t="n">
        <v>339.08</v>
      </c>
      <c r="D4" s="6" t="n">
        <v>149993</v>
      </c>
      <c r="E4" s="6" t="n">
        <v>149858</v>
      </c>
      <c r="F4" s="22" t="n">
        <v>-135</v>
      </c>
      <c r="G4" s="23" t="n">
        <v>-0.09000420019600915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466.89</v>
      </c>
      <c r="C5" s="13" t="n">
        <v>293.53</v>
      </c>
      <c r="D5" s="6" t="n">
        <v>137493</v>
      </c>
      <c r="E5" s="6" t="n">
        <v>137046</v>
      </c>
      <c r="F5" s="22" t="n">
        <v>-447</v>
      </c>
      <c r="G5" s="23" t="n">
        <v>-0.3251074600161463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</v>
      </c>
      <c r="C6" s="13" t="n">
        <v>184.17</v>
      </c>
      <c r="D6" s="6" t="n">
        <v>99995</v>
      </c>
      <c r="E6" s="6" t="n">
        <v>104019</v>
      </c>
      <c r="F6" s="7" t="n">
        <v>4024</v>
      </c>
      <c r="G6" s="21" t="n">
        <v>4.024201210060503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</v>
      </c>
      <c r="C7" s="13" t="n">
        <v>223.7</v>
      </c>
      <c r="D7" s="6" t="n">
        <v>49998</v>
      </c>
      <c r="E7" s="6" t="n">
        <v>56218</v>
      </c>
      <c r="F7" s="7" t="n">
        <v>6221</v>
      </c>
      <c r="G7" s="21" t="n">
        <v>12.442497699908</v>
      </c>
      <c r="H7" s="5" t="inlineStr">
        <is>
          <t>Zerodha</t>
        </is>
      </c>
    </row>
    <row r="8">
      <c r="A8" s="5" t="inlineStr">
        <is>
          <t>HDFC Flexi Cap - Direct</t>
        </is>
      </c>
      <c r="B8" s="13" t="n">
        <v>24.14</v>
      </c>
      <c r="C8" s="13" t="n">
        <v>2155.38</v>
      </c>
      <c r="D8" s="6" t="n">
        <v>52997</v>
      </c>
      <c r="E8" s="6" t="n">
        <v>52031</v>
      </c>
      <c r="F8" s="22" t="n">
        <v>-966</v>
      </c>
      <c r="G8" s="23" t="n">
        <v>-1.822744683661339</v>
      </c>
      <c r="H8" s="5" t="inlineStr">
        <is>
          <t>Zerodha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283.79</v>
      </c>
      <c r="C10" s="13" t="n">
        <v>122.5</v>
      </c>
      <c r="D10" s="6" t="n">
        <v>36498</v>
      </c>
      <c r="E10" s="6" t="n">
        <v>34764</v>
      </c>
      <c r="F10" s="22" t="n">
        <v>-1734</v>
      </c>
      <c r="G10" s="23" t="n">
        <v>-4.750945257274371</v>
      </c>
      <c r="H10" s="5" t="inlineStr">
        <is>
          <t>Zerodha</t>
        </is>
      </c>
    </row>
    <row r="11">
      <c r="A11" s="5" t="inlineStr">
        <is>
          <t>Nippon India Multi Cap - Direct</t>
        </is>
      </c>
      <c r="B11" s="13" t="n">
        <v>80.14</v>
      </c>
      <c r="C11" s="13" t="n">
        <v>324.31</v>
      </c>
      <c r="D11" s="6" t="n">
        <v>24999</v>
      </c>
      <c r="E11" s="6" t="n">
        <v>25990</v>
      </c>
      <c r="F11" s="7" t="n">
        <v>991</v>
      </c>
      <c r="G11" s="21" t="n">
        <v>3.964158566342654</v>
      </c>
      <c r="H11" s="5" t="inlineStr">
        <is>
          <t>Zerodha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</v>
      </c>
      <c r="C13" s="13" t="n">
        <v>392.87</v>
      </c>
      <c r="D13" s="6" t="n">
        <v>12499</v>
      </c>
      <c r="E13" s="6" t="n">
        <v>13534</v>
      </c>
      <c r="F13" s="7" t="n">
        <v>1035</v>
      </c>
      <c r="G13" s="21" t="n">
        <v>8.280662452996241</v>
      </c>
      <c r="H13" s="5" t="inlineStr">
        <is>
          <t>Zerodha</t>
        </is>
      </c>
    </row>
    <row r="14">
      <c r="A14" s="8" t="inlineStr">
        <is>
          <t>TOTAL</t>
        </is>
      </c>
      <c r="D14" s="9" t="n">
        <v>786461</v>
      </c>
      <c r="E14" s="9" t="n">
        <v>800278</v>
      </c>
      <c r="F14" s="9" t="n">
        <v>13817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US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1.622</v>
      </c>
      <c r="D3" s="13" t="n">
        <v>678.2659484716723</v>
      </c>
      <c r="E3" s="6" t="n">
        <v>104514</v>
      </c>
      <c r="F3" s="6" t="n">
        <v>95410</v>
      </c>
      <c r="G3" s="7" t="n">
        <v>9103.999999999985</v>
      </c>
      <c r="H3" s="21" t="n">
        <v>9.541976731998728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4.034</v>
      </c>
      <c r="D4" s="13" t="n">
        <v>294.971688020249</v>
      </c>
      <c r="E4" s="6" t="n">
        <v>113042</v>
      </c>
      <c r="F4" s="6" t="n">
        <v>95412</v>
      </c>
      <c r="G4" s="7" t="n">
        <v>17630.00000000001</v>
      </c>
      <c r="H4" s="21" t="n">
        <v>18.47775961095042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24.026</v>
      </c>
      <c r="D5" s="13" t="n">
        <v>32.52660494990077</v>
      </c>
      <c r="E5" s="6" t="n">
        <v>74241</v>
      </c>
      <c r="F5" s="6" t="n">
        <v>68986</v>
      </c>
      <c r="G5" s="7" t="n">
        <v>5255</v>
      </c>
      <c r="H5" s="21" t="n">
        <v>7.617487606180965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10.04</v>
      </c>
      <c r="D6" s="13" t="n">
        <v>75.38582512057036</v>
      </c>
      <c r="E6" s="6" t="n">
        <v>71903</v>
      </c>
      <c r="F6" s="6" t="n">
        <v>69006</v>
      </c>
      <c r="G6" s="7" t="n">
        <v>2897</v>
      </c>
      <c r="H6" s="21" t="n">
        <v>4.198185665014637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5.34</v>
      </c>
      <c r="D7" s="13" t="n">
        <v>116.0595308495959</v>
      </c>
      <c r="E7" s="6" t="n">
        <v>58877</v>
      </c>
      <c r="F7" s="6" t="n">
        <v>47504</v>
      </c>
      <c r="G7" s="7" t="n">
        <v>11373</v>
      </c>
      <c r="H7" s="21" t="n">
        <v>23.94114179858538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4.388</v>
      </c>
      <c r="D8" s="13" t="n">
        <v>85.11970445713189</v>
      </c>
      <c r="E8" s="6" t="n">
        <v>35483</v>
      </c>
      <c r="F8" s="6" t="n">
        <v>33274</v>
      </c>
      <c r="G8" s="7" t="n">
        <v>2209</v>
      </c>
      <c r="H8" s="21" t="n">
        <v>6.638817094428082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0.605</v>
      </c>
      <c r="D9" s="13" t="n">
        <v>609.4997825141365</v>
      </c>
      <c r="E9" s="6" t="n">
        <v>35031</v>
      </c>
      <c r="F9" s="6" t="n">
        <v>23758</v>
      </c>
      <c r="G9" s="7" t="n">
        <v>11273</v>
      </c>
      <c r="H9" s="21" t="n">
        <v>47.44928024244465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2.835</v>
      </c>
      <c r="D10" s="13" t="n">
        <v>129.2119186856029</v>
      </c>
      <c r="E10" s="6" t="n">
        <v>34799.99999999999</v>
      </c>
      <c r="F10" s="6" t="n">
        <v>33149</v>
      </c>
      <c r="G10" s="7" t="n">
        <v>1650.999999999993</v>
      </c>
      <c r="H10" s="21" t="n">
        <v>4.980542399469043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1.553</v>
      </c>
      <c r="D11" s="13" t="n">
        <v>234.4053953299217</v>
      </c>
      <c r="E11" s="6" t="n">
        <v>34583</v>
      </c>
      <c r="F11" s="6" t="n">
        <v>33319</v>
      </c>
      <c r="G11" s="7" t="n">
        <v>1264</v>
      </c>
      <c r="H11" s="21" t="n">
        <v>3.793631261442421</v>
      </c>
      <c r="I11" s="17" t="inlineStr">
        <is>
          <t>cached</t>
        </is>
      </c>
    </row>
    <row r="12">
      <c r="A12" s="5" t="inlineStr">
        <is>
          <t>VXUS</t>
        </is>
      </c>
      <c r="B12" s="5" t="inlineStr">
        <is>
          <t>Vanguard All-World Ex-US ETF</t>
        </is>
      </c>
      <c r="C12" s="24" t="n">
        <v>3.986</v>
      </c>
      <c r="D12" s="13" t="n">
        <v>83.44732880872527</v>
      </c>
      <c r="E12" s="6" t="n">
        <v>31599</v>
      </c>
      <c r="F12" s="6" t="n">
        <v>28948</v>
      </c>
      <c r="G12" s="7" t="n">
        <v>2651</v>
      </c>
      <c r="H12" s="21" t="n">
        <v>9.157800193450324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1.564</v>
      </c>
      <c r="D13" s="13" t="n">
        <v>161.0849374074573</v>
      </c>
      <c r="E13" s="6" t="n">
        <v>23934</v>
      </c>
      <c r="F13" s="6" t="n">
        <v>23805</v>
      </c>
      <c r="G13" s="7" t="n">
        <v>129</v>
      </c>
      <c r="H13" s="21" t="n">
        <v>0.5419029615626969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0.913</v>
      </c>
      <c r="D14" s="13" t="n">
        <v>159.3935550815703</v>
      </c>
      <c r="E14" s="6" t="n">
        <v>13825</v>
      </c>
      <c r="F14" s="6" t="n">
        <v>9945</v>
      </c>
      <c r="G14" s="7" t="n">
        <v>3880.000000000002</v>
      </c>
      <c r="H14" s="21" t="n">
        <v>39.0145801910508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0.551</v>
      </c>
      <c r="D15" s="13" t="n">
        <v>199.0256949087783</v>
      </c>
      <c r="E15" s="6" t="n">
        <v>10418</v>
      </c>
      <c r="F15" s="6" t="n">
        <v>6698</v>
      </c>
      <c r="G15" s="7" t="n">
        <v>3720</v>
      </c>
      <c r="H15" s="21" t="n">
        <v>55.53896685577785</v>
      </c>
      <c r="I15" s="17" t="inlineStr">
        <is>
          <t>cached</t>
        </is>
      </c>
    </row>
    <row r="17">
      <c r="A17" s="3" t="inlineStr">
        <is>
          <t>US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0.308</v>
      </c>
      <c r="D19" s="13" t="n">
        <v>488.4825700615174</v>
      </c>
      <c r="E19" s="6" t="n">
        <v>14293</v>
      </c>
      <c r="F19" s="6" t="n">
        <v>6390</v>
      </c>
      <c r="G19" s="7" t="n">
        <v>7903</v>
      </c>
      <c r="H19" s="21" t="n">
        <v>123.6776212832551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0.322</v>
      </c>
      <c r="D20" s="13" t="n">
        <v>420.8564890487087</v>
      </c>
      <c r="E20" s="6" t="n">
        <v>12874</v>
      </c>
      <c r="F20" s="6" t="n">
        <v>10031</v>
      </c>
      <c r="G20" s="7" t="n">
        <v>2843</v>
      </c>
      <c r="H20" s="21" t="n">
        <v>28.34213936795932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0.343</v>
      </c>
      <c r="D21" s="13" t="n">
        <v>356.3602884762927</v>
      </c>
      <c r="E21" s="6" t="n">
        <v>11612</v>
      </c>
      <c r="F21" s="6" t="n">
        <v>9542</v>
      </c>
      <c r="G21" s="7" t="n">
        <v>2070</v>
      </c>
      <c r="H21" s="21" t="n">
        <v>21.69356529029553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0.39</v>
      </c>
      <c r="D22" s="13" t="n">
        <v>295.5735492577598</v>
      </c>
      <c r="E22" s="6" t="n">
        <v>10951</v>
      </c>
      <c r="F22" s="6" t="n">
        <v>9571</v>
      </c>
      <c r="G22" s="7" t="n">
        <v>1380.000000000002</v>
      </c>
      <c r="H22" s="21" t="n">
        <v>14.41855605474874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0.465</v>
      </c>
      <c r="D23" s="13" t="n">
        <v>241.5619694397284</v>
      </c>
      <c r="E23" s="6" t="n">
        <v>10671</v>
      </c>
      <c r="F23" s="6" t="n">
        <v>9539</v>
      </c>
      <c r="G23" s="7" t="n">
        <v>1132.000000000002</v>
      </c>
      <c r="H23" s="21" t="n">
        <v>11.86707202012792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0.545</v>
      </c>
      <c r="D24" s="13" t="n">
        <v>204.8478995654273</v>
      </c>
      <c r="E24" s="6" t="n">
        <v>10606</v>
      </c>
      <c r="F24" s="6" t="n">
        <v>9374</v>
      </c>
      <c r="G24" s="7" t="n">
        <v>1232</v>
      </c>
      <c r="H24" s="21" t="n">
        <v>13.14273522509068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0.257</v>
      </c>
      <c r="D25" s="13" t="n">
        <v>398.6893303297153</v>
      </c>
      <c r="E25" s="6" t="n">
        <v>9734</v>
      </c>
      <c r="F25" s="6" t="n">
        <v>9563</v>
      </c>
      <c r="G25" s="7" t="n">
        <v>171</v>
      </c>
      <c r="H25" s="21" t="n">
        <v>1.788141796507372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0.323</v>
      </c>
      <c r="D26" s="13" t="n">
        <v>319.0809841942317</v>
      </c>
      <c r="E26" s="6" t="n">
        <v>9791</v>
      </c>
      <c r="F26" s="6" t="n">
        <v>9565</v>
      </c>
      <c r="G26" s="7" t="n">
        <v>226</v>
      </c>
      <c r="H26" s="21" t="n">
        <v>2.362780972294825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0.325</v>
      </c>
      <c r="D27" s="13" t="n">
        <v>313.3279352226721</v>
      </c>
      <c r="E27" s="6" t="n">
        <v>9674</v>
      </c>
      <c r="F27" s="6" t="n">
        <v>9566</v>
      </c>
      <c r="G27" s="7" t="n">
        <v>108</v>
      </c>
      <c r="H27" s="21" t="n">
        <v>1.128998536483379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0.172</v>
      </c>
      <c r="D28" s="13" t="n">
        <v>569.3390452876378</v>
      </c>
      <c r="E28" s="6" t="n">
        <v>9303</v>
      </c>
      <c r="F28" s="6" t="n">
        <v>9968</v>
      </c>
      <c r="G28" s="22" t="n">
        <v>-665</v>
      </c>
      <c r="H28" s="23" t="n">
        <v>-6.671348314606742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0.249</v>
      </c>
      <c r="D29" s="13" t="n">
        <v>390.2346227013317</v>
      </c>
      <c r="E29" s="6" t="n">
        <v>9231</v>
      </c>
      <c r="F29" s="6" t="n">
        <v>9565</v>
      </c>
      <c r="G29" s="22" t="n">
        <v>-334</v>
      </c>
      <c r="H29" s="23" t="n">
        <v>-3.49189754312598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0.197</v>
      </c>
      <c r="D30" s="13" t="n">
        <v>485.5463531926262</v>
      </c>
      <c r="E30" s="6" t="n">
        <v>9087</v>
      </c>
      <c r="F30" s="6" t="n">
        <v>9566</v>
      </c>
      <c r="G30" s="22" t="n">
        <v>-479</v>
      </c>
      <c r="H30" s="23" t="n">
        <v>-5.007317583106836</v>
      </c>
      <c r="I30" s="17" t="inlineStr">
        <is>
          <t>cached</t>
        </is>
      </c>
    </row>
    <row r="31">
      <c r="A31" s="5" t="inlineStr">
        <is>
          <t>LRCX</t>
        </is>
      </c>
      <c r="B31" s="5" t="inlineStr">
        <is>
          <t>Lam Research</t>
        </is>
      </c>
      <c r="C31" s="24" t="n">
        <v>2</v>
      </c>
      <c r="D31" s="13" t="n">
        <v>362.4842105263158</v>
      </c>
      <c r="E31" s="6" t="n">
        <v>68872</v>
      </c>
      <c r="F31" s="6" t="n">
        <v>65751</v>
      </c>
      <c r="G31" s="7" t="n">
        <v>3121</v>
      </c>
      <c r="H31" s="21" t="n">
        <v>4.746695867743457</v>
      </c>
      <c r="I31" s="17" t="inlineStr">
        <is>
          <t>cached</t>
        </is>
      </c>
    </row>
  </sheetData>
  <mergeCells count="2">
    <mergeCell ref="A1:I1"/>
    <mergeCell ref="A17:I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2" t="inlineStr">
        <is>
          <t>No open positions — flat.</t>
        </is>
      </c>
    </row>
    <row r="4">
      <c r="A4" s="3" t="inlineStr">
        <is>
          <t>Watchlist / Planned Entries</t>
        </is>
      </c>
    </row>
    <row r="5">
      <c r="A5" s="4" t="inlineStr">
        <is>
          <t>Ticker</t>
        </is>
      </c>
      <c r="B5" s="4" t="inlineStr">
        <is>
          <t>Trigger</t>
        </is>
      </c>
      <c r="C5" s="4" t="inlineStr">
        <is>
          <t>Stop</t>
        </is>
      </c>
      <c r="D5" s="4" t="inlineStr">
        <is>
          <t>Note</t>
        </is>
      </c>
      <c r="E5" s="4" t="inlineStr"/>
      <c r="F5" s="4" t="inlineStr"/>
      <c r="G5" s="4" t="inlineStr"/>
      <c r="H5" s="4" t="inlineStr"/>
      <c r="I5" s="4" t="inlineStr"/>
    </row>
    <row r="6">
      <c r="A6" s="5" t="inlineStr">
        <is>
          <t>POLYCAB</t>
        </is>
      </c>
      <c r="B6" s="5" t="inlineStr">
        <is>
          <t>₹9690 reclaim</t>
        </is>
      </c>
      <c r="C6" s="5" t="inlineStr">
        <is>
          <t>₹9265</t>
        </is>
      </c>
      <c r="D6" s="2" t="inlineStr">
        <is>
          <t>A- setup. Fresh box breakout to ATH 10,126, now pulling back. Enter 25% pilot on reclaim of 10D EMA 9,690. Add 50% above 10,126. Invalidate below 50D 9,265.</t>
        </is>
      </c>
    </row>
    <row r="7">
      <c r="A7" s="5" t="inlineStr">
        <is>
          <t>ACUTAAS</t>
        </is>
      </c>
      <c r="B7" s="5" t="inlineStr">
        <is>
          <t>₹3333 pullback</t>
        </is>
      </c>
      <c r="C7" s="5" t="inlineStr">
        <is>
          <t>₹3070</t>
        </is>
      </c>
      <c r="D7" s="2" t="inlineStr">
        <is>
          <t>WAIT — extended late-stage (box 5+), weekly reversal -4.9%. Only on orderly pullback to 21D ~3,333 holding. Never chase above 3,600.</t>
        </is>
      </c>
    </row>
    <row r="8">
      <c r="A8" s="5" t="inlineStr">
        <is>
          <t>RSI</t>
        </is>
      </c>
      <c r="B8" s="5" t="inlineStr">
        <is>
          <t>$29.69-30.00</t>
        </is>
      </c>
      <c r="C8" s="5" t="inlineStr">
        <is>
          <t>$29.24</t>
        </is>
      </c>
      <c r="D8" s="2" t="inlineStr">
        <is>
          <t>US gaming. Pullback entry to Darvas trail. Skip on close below 29.24.</t>
        </is>
      </c>
    </row>
    <row r="9">
      <c r="A9" s="5" t="inlineStr">
        <is>
          <t>STX</t>
        </is>
      </c>
      <c r="B9" s="5" t="inlineStr">
        <is>
          <t>$475-510</t>
        </is>
      </c>
      <c r="C9" s="5" t="inlineStr">
        <is>
          <t>$448</t>
        </is>
      </c>
      <c r="D9" s="2" t="inlineStr">
        <is>
          <t>US semis. B+ setup — RE-CHECK after global chip selloff before acting.</t>
        </is>
      </c>
    </row>
    <row r="10">
      <c r="A10" s="5" t="inlineStr">
        <is>
          <t>WAAREEENER</t>
        </is>
      </c>
      <c r="B10" s="5" t="inlineStr">
        <is>
          <t>₹3080-3120</t>
        </is>
      </c>
      <c r="C10" s="5" t="inlineStr">
        <is>
          <t>₹2960</t>
        </is>
      </c>
      <c r="D10" s="2" t="inlineStr">
        <is>
          <t>B- setup. Wait for ATH &gt;3800.</t>
        </is>
      </c>
    </row>
    <row r="11">
      <c r="A11" s="5" t="inlineStr">
        <is>
          <t>LAURUSLABS</t>
        </is>
      </c>
      <c r="B11" s="5" t="inlineStr">
        <is>
          <t>₹1280-1320</t>
        </is>
      </c>
      <c r="C11" s="5" t="inlineStr">
        <is>
          <t>₹1177</t>
        </is>
      </c>
      <c r="D11" s="2" t="inlineStr">
        <is>
          <t>C+ setup — WAIT. Extended. Only on pullback to 10W EMA ~1280. Remove if closes below 21W 1177.</t>
        </is>
      </c>
    </row>
    <row r="12">
      <c r="A12" s="5" t="inlineStr">
        <is>
          <t>NIFTY</t>
        </is>
      </c>
      <c r="B12" s="5" t="inlineStr"/>
      <c r="C12" s="5" t="inlineStr"/>
      <c r="D12" s="2" t="inlineStr">
        <is>
          <t>Regime gauge — exit longs if loses 21D EMA</t>
        </is>
      </c>
    </row>
    <row r="13">
      <c r="A13" s="5" t="inlineStr">
        <is>
          <t>QQQ</t>
        </is>
      </c>
      <c r="B13" s="5" t="inlineStr"/>
      <c r="C13" s="5" t="inlineStr"/>
      <c r="D13" s="2" t="inlineStr">
        <is>
          <t>US regime gauge — chip selloff in progress, watch for follow-through distribution</t>
        </is>
      </c>
    </row>
    <row r="15">
      <c r="A15" s="3" t="inlineStr">
        <is>
          <t>Closed Trade Journal</t>
        </is>
      </c>
    </row>
    <row r="16">
      <c r="A16" s="4" t="inlineStr">
        <is>
          <t>Ticker</t>
        </is>
      </c>
      <c r="B16" s="4" t="inlineStr">
        <is>
          <t>Result</t>
        </is>
      </c>
      <c r="C16" s="4" t="inlineStr">
        <is>
          <t>Avg Entry</t>
        </is>
      </c>
      <c r="D16" s="4" t="inlineStr">
        <is>
          <t>Avg Exit</t>
        </is>
      </c>
      <c r="E16" s="4" t="inlineStr">
        <is>
          <t>P&amp;L</t>
        </is>
      </c>
      <c r="F16" s="4" t="inlineStr">
        <is>
          <t>P&amp;L %</t>
        </is>
      </c>
      <c r="G16" s="4" t="inlineStr">
        <is>
          <t>Hold Days</t>
        </is>
      </c>
      <c r="H16" s="4" t="inlineStr"/>
      <c r="I16" s="4" t="inlineStr"/>
    </row>
    <row r="17">
      <c r="A17" s="5" t="inlineStr">
        <is>
          <t>SNDK</t>
        </is>
      </c>
      <c r="B17" s="5" t="inlineStr">
        <is>
          <t>profit</t>
        </is>
      </c>
      <c r="C17" s="5" t="n">
        <v>903.13</v>
      </c>
      <c r="D17" s="5" t="n">
        <v>1250.83</v>
      </c>
      <c r="E17" s="5" t="inlineStr">
        <is>
          <t>$113</t>
        </is>
      </c>
      <c r="F17" s="21" t="n">
        <v>37.7</v>
      </c>
      <c r="G17" s="5" t="n">
        <v>35</v>
      </c>
    </row>
    <row r="18">
      <c r="A18" s="5" t="inlineStr">
        <is>
          <t>BSE.NS</t>
        </is>
      </c>
      <c r="B18" s="5" t="inlineStr">
        <is>
          <t>profit</t>
        </is>
      </c>
      <c r="C18" s="5" t="n">
        <v>3415.5</v>
      </c>
      <c r="D18" s="5" t="n">
        <v>3994.53</v>
      </c>
      <c r="E18" s="5" t="inlineStr">
        <is>
          <t>₹4,632</t>
        </is>
      </c>
      <c r="F18" s="21" t="n">
        <v>17</v>
      </c>
      <c r="G18" s="5" t="n">
        <v>48</v>
      </c>
    </row>
    <row r="19">
      <c r="A19" s="5" t="inlineStr">
        <is>
          <t>KRN</t>
        </is>
      </c>
      <c r="B19" s="5" t="inlineStr">
        <is>
          <t>loss</t>
        </is>
      </c>
      <c r="C19" s="5" t="n">
        <v>1310</v>
      </c>
      <c r="D19" s="5" t="n">
        <v>1197.27</v>
      </c>
      <c r="E19" s="5" t="inlineStr">
        <is>
          <t>₹-2,480</t>
        </is>
      </c>
      <c r="F19" s="23" t="n">
        <v>-8.6</v>
      </c>
      <c r="G19" s="5" t="n">
        <v>9</v>
      </c>
    </row>
    <row r="20">
      <c r="A20" s="5" t="inlineStr">
        <is>
          <t>CPRX</t>
        </is>
      </c>
      <c r="B20" s="5" t="inlineStr">
        <is>
          <t>profit</t>
        </is>
      </c>
      <c r="C20" s="5" t="n">
        <v>28.03</v>
      </c>
      <c r="D20" s="5" t="n">
        <v>31.14</v>
      </c>
      <c r="E20" s="5" t="inlineStr">
        <is>
          <t>$21</t>
        </is>
      </c>
      <c r="F20" s="21" t="n">
        <v>10.4</v>
      </c>
      <c r="G20" s="5" t="n">
        <v>14</v>
      </c>
    </row>
    <row r="21">
      <c r="A21" s="5" t="inlineStr">
        <is>
          <t>ATHERENERG</t>
        </is>
      </c>
      <c r="B21" s="5" t="inlineStr">
        <is>
          <t>profit</t>
        </is>
      </c>
      <c r="C21" s="5" t="n">
        <v>960.4</v>
      </c>
      <c r="D21" s="5" t="n">
        <v>979.5</v>
      </c>
      <c r="E21" s="5" t="inlineStr">
        <is>
          <t>₹134</t>
        </is>
      </c>
      <c r="F21" s="21" t="n">
        <v>2</v>
      </c>
      <c r="G21" s="5" t="n">
        <v>37</v>
      </c>
    </row>
    <row r="22">
      <c r="A22" s="5" t="inlineStr">
        <is>
          <t>LRCX</t>
        </is>
      </c>
      <c r="B22" s="5" t="inlineStr">
        <is>
          <t>scratch</t>
        </is>
      </c>
      <c r="C22" s="5" t="n">
        <v>346.09</v>
      </c>
      <c r="D22" s="5" t="n">
        <v>346</v>
      </c>
      <c r="E22" s="5" t="inlineStr">
        <is>
          <t>$-0</t>
        </is>
      </c>
      <c r="F22" s="23" t="n">
        <v>-0.03</v>
      </c>
      <c r="G22" s="5" t="n">
        <v>27</v>
      </c>
    </row>
    <row r="23">
      <c r="A23" s="5" t="inlineStr">
        <is>
          <t>DATAPATTNS</t>
        </is>
      </c>
      <c r="B23" s="5" t="inlineStr">
        <is>
          <t>loss</t>
        </is>
      </c>
      <c r="C23" s="5" t="n">
        <v>4805</v>
      </c>
      <c r="D23" s="5" t="n">
        <v>4400</v>
      </c>
      <c r="E23" s="5" t="inlineStr">
        <is>
          <t>₹-4,050</t>
        </is>
      </c>
      <c r="F23" s="23" t="n">
        <v>-8.4</v>
      </c>
      <c r="G23" s="5" t="n"/>
    </row>
  </sheetData>
  <mergeCells count="11">
    <mergeCell ref="A15:I15"/>
    <mergeCell ref="D11:I11"/>
    <mergeCell ref="D10:I10"/>
    <mergeCell ref="D13:I13"/>
    <mergeCell ref="A1:I1"/>
    <mergeCell ref="D9:I9"/>
    <mergeCell ref="D12:I12"/>
    <mergeCell ref="D6:I6"/>
    <mergeCell ref="A4:I4"/>
    <mergeCell ref="D7:I7"/>
    <mergeCell ref="D8:I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Planned Trades (redeployment of sale proceeds)</t>
        </is>
      </c>
    </row>
    <row r="12">
      <c r="A12" s="2" t="inlineStr">
        <is>
          <t>None yet — ~₹50L expected free after GILLETTE + COLPAL exits. Plan before redeploying.</t>
        </is>
      </c>
    </row>
  </sheetData>
  <mergeCells count="5">
    <mergeCell ref="A1:J1"/>
    <mergeCell ref="B8:J8"/>
    <mergeCell ref="B4:J4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2026-08-12T10:58:46Z</dcterms:created>
  <dcterms:modified xsi:type="dcterms:W3CDTF">2026-08-12T10:58:46Z</dcterms:modified>
</cp:coreProperties>
</file>