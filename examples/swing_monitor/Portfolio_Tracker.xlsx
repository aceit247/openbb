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2026-08-26 16:42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2" t="inlineStr">
        <is>
          <t>No planned positions.</t>
        </is>
      </c>
    </row>
    <row r="7">
      <c r="A7" s="3" t="inlineStr">
        <is>
          <t>Watchlist / Planned Entries</t>
        </is>
      </c>
    </row>
    <row r="8">
      <c r="A8" s="4" t="inlineStr">
        <is>
          <t>Ticker</t>
        </is>
      </c>
      <c r="B8" s="4" t="inlineStr">
        <is>
          <t>Trigger</t>
        </is>
      </c>
      <c r="C8" s="4" t="inlineStr">
        <is>
          <t>Stop</t>
        </is>
      </c>
      <c r="D8" s="4" t="inlineStr">
        <is>
          <t>Note</t>
        </is>
      </c>
      <c r="E8" s="4" t="inlineStr"/>
      <c r="F8" s="4" t="inlineStr"/>
      <c r="G8" s="4" t="inlineStr"/>
      <c r="H8" s="4" t="inlineStr"/>
      <c r="I8" s="4" t="inlineStr"/>
    </row>
    <row r="9">
      <c r="A9" s="5" t="inlineStr">
        <is>
          <t>ACUTAAS</t>
        </is>
      </c>
      <c r="B9" s="5" t="inlineStr">
        <is>
          <t>₹3333 pullback</t>
        </is>
      </c>
      <c r="C9" s="5" t="inlineStr">
        <is>
          <t>₹3070</t>
        </is>
      </c>
      <c r="D9" s="2" t="inlineStr">
        <is>
          <t>WAIT — extended late-stage (box 5+), weekly reversal -4.9%. Only on orderly pullback to 21D ~3,333 holding. Never chase above 3,600.</t>
        </is>
      </c>
    </row>
    <row r="10">
      <c r="A10" s="5" t="inlineStr">
        <is>
          <t>RSI</t>
        </is>
      </c>
      <c r="B10" s="5" t="inlineStr">
        <is>
          <t>$29.69-30.00</t>
        </is>
      </c>
      <c r="C10" s="5" t="inlineStr">
        <is>
          <t>$29.24</t>
        </is>
      </c>
      <c r="D10" s="2" t="inlineStr">
        <is>
          <t>US gaming. Pullback entry to Darvas trail. Skip on close below 29.24.</t>
        </is>
      </c>
    </row>
    <row r="11">
      <c r="A11" s="5" t="inlineStr">
        <is>
          <t>STX</t>
        </is>
      </c>
      <c r="B11" s="5" t="inlineStr">
        <is>
          <t>$475-510</t>
        </is>
      </c>
      <c r="C11" s="5" t="inlineStr">
        <is>
          <t>$448</t>
        </is>
      </c>
      <c r="D11" s="2" t="inlineStr">
        <is>
          <t>US semis. B+ setup — RE-CHECK after global chip selloff before acting.</t>
        </is>
      </c>
    </row>
    <row r="12">
      <c r="A12" s="5" t="inlineStr">
        <is>
          <t>LAURUSLABS</t>
        </is>
      </c>
      <c r="B12" s="5" t="inlineStr">
        <is>
          <t>₹1280-1320</t>
        </is>
      </c>
      <c r="C12" s="5" t="inlineStr">
        <is>
          <t>₹1177</t>
        </is>
      </c>
      <c r="D12" s="2" t="inlineStr">
        <is>
          <t>C+ setup — WAIT. Extended. Only on pullback to 10W EMA ~1280. Remove if closes below 21W 1177.</t>
        </is>
      </c>
    </row>
    <row r="13">
      <c r="A13" s="5" t="inlineStr">
        <is>
          <t>NIFTY</t>
        </is>
      </c>
      <c r="B13" s="5" t="inlineStr"/>
      <c r="C13" s="5" t="inlineStr"/>
      <c r="D13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4">
      <c r="A14" s="5" t="inlineStr">
        <is>
          <t>NIFTY500</t>
        </is>
      </c>
      <c r="B14" s="5" t="inlineStr"/>
      <c r="C14" s="5" t="inlineStr"/>
      <c r="D14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5">
      <c r="A15" s="5" t="inlineStr">
        <is>
          <t>QQQ</t>
        </is>
      </c>
      <c r="B15" s="5" t="inlineStr"/>
      <c r="C15" s="5" t="inlineStr"/>
      <c r="D15" s="2" t="inlineStr">
        <is>
          <t>US regime gauge — chip selloff in progress, watch for follow-through distribution</t>
        </is>
      </c>
    </row>
    <row r="16">
      <c r="A16" s="5" t="inlineStr">
        <is>
          <t>WT</t>
        </is>
      </c>
      <c r="B16" s="5" t="inlineStr"/>
      <c r="C16" s="5" t="inlineStr"/>
      <c r="D16" s="2" t="inlineStr">
        <is>
          <t>From TradingView 'Breaking Out' follow list, 2026-08-24. No analysis yet — pending review.</t>
        </is>
      </c>
    </row>
    <row r="17">
      <c r="A17" s="5" t="inlineStr">
        <is>
          <t>ATUSF</t>
        </is>
      </c>
      <c r="B17" s="5" t="inlineStr"/>
      <c r="C17" s="5" t="inlineStr"/>
      <c r="D17" s="2" t="inlineStr">
        <is>
          <t>From TradingView 'Breaking Out' follow list, 2026-08-24. Ticker/company identity unconfirmed (OTC-style suffix) — verify before analysis. No analysis yet.</t>
        </is>
      </c>
    </row>
    <row r="18">
      <c r="A18" s="5" t="inlineStr">
        <is>
          <t>LRCX</t>
        </is>
      </c>
      <c r="B18" s="5" t="inlineStr"/>
      <c r="C18" s="5" t="inlineStr"/>
      <c r="D18" s="2" t="inlineStr">
        <is>
          <t>From TradingView follow list, 2026-08-24. Previously closed swing (entry 346, scratch exit). Re-following, not re-entered. No fresh analysis yet.</t>
        </is>
      </c>
    </row>
    <row r="19">
      <c r="A19" s="5" t="inlineStr">
        <is>
          <t>SNDK</t>
        </is>
      </c>
      <c r="B19" s="5" t="inlineStr"/>
      <c r="C19" s="5" t="inlineStr"/>
      <c r="D19" s="2" t="inlineStr">
        <is>
          <t>From TradingView follow list, 2026-08-24. Previously closed swing (+37.7%). Re-following. No fresh analysis yet.</t>
        </is>
      </c>
    </row>
    <row r="20">
      <c r="A20" s="5" t="inlineStr">
        <is>
          <t>WDC</t>
        </is>
      </c>
      <c r="B20" s="5" t="inlineStr"/>
      <c r="C20" s="5" t="inlineStr"/>
      <c r="D20" s="2" t="inlineStr">
        <is>
          <t>From TradingView follow list, 2026-08-24. No analysis yet — pending review.</t>
        </is>
      </c>
    </row>
    <row r="21">
      <c r="A21" s="5" t="inlineStr">
        <is>
          <t>INTC</t>
        </is>
      </c>
      <c r="B21" s="5" t="inlineStr"/>
      <c r="C21" s="5" t="inlineStr"/>
      <c r="D21" s="2" t="inlineStr">
        <is>
          <t>From TradingView follow list, 2026-08-24. No analysis yet — pending review.</t>
        </is>
      </c>
    </row>
    <row r="22">
      <c r="A22" s="5" t="inlineStr">
        <is>
          <t>OUST</t>
        </is>
      </c>
      <c r="B22" s="5" t="inlineStr"/>
      <c r="C22" s="5" t="inlineStr"/>
      <c r="D22" s="2" t="inlineStr">
        <is>
          <t>From TradingView follow list, 2026-08-24. No analysis yet — pending review.</t>
        </is>
      </c>
    </row>
    <row r="23">
      <c r="A23" s="5" t="inlineStr">
        <is>
          <t>CGNX</t>
        </is>
      </c>
      <c r="B23" s="5" t="inlineStr"/>
      <c r="C23" s="5" t="inlineStr"/>
      <c r="D23" s="2" t="inlineStr">
        <is>
          <t>From TradingView follow list, 2026-08-24. No analysis yet — pending review.</t>
        </is>
      </c>
    </row>
    <row r="24">
      <c r="A24" s="5" t="inlineStr">
        <is>
          <t>KALYANKJIL</t>
        </is>
      </c>
      <c r="B24" s="5" t="inlineStr"/>
      <c r="C24" s="5" t="inlineStr"/>
      <c r="D24" s="2" t="inlineStr">
        <is>
          <t>Kalyan Jewellers India. From TradingView follow list, 2026-08-24. No analysis yet — pending review.</t>
        </is>
      </c>
    </row>
    <row r="25">
      <c r="A25" s="5" t="inlineStr">
        <is>
          <t>RAINBOW</t>
        </is>
      </c>
      <c r="B25" s="5" t="inlineStr"/>
      <c r="C25" s="5" t="inlineStr"/>
      <c r="D25" s="2" t="inlineStr">
        <is>
          <t>Rainbow Childrens Medicare. From TradingView follow list, 2026-08-24. No analysis yet — pending review.</t>
        </is>
      </c>
    </row>
    <row r="26">
      <c r="A26" s="5" t="inlineStr">
        <is>
          <t>AUROPHARMA</t>
        </is>
      </c>
      <c r="B26" s="5" t="inlineStr"/>
      <c r="C26" s="5" t="inlineStr"/>
      <c r="D26" s="2" t="inlineStr">
        <is>
          <t>Aurobindo Pharma. From TradingView follow list, 2026-08-24. No analysis yet — pending review.</t>
        </is>
      </c>
    </row>
    <row r="27">
      <c r="A27" s="5" t="inlineStr">
        <is>
          <t>ATHERENERG</t>
        </is>
      </c>
      <c r="B27" s="5" t="inlineStr"/>
      <c r="C27" s="5" t="inlineStr"/>
      <c r="D27" s="2" t="inlineStr">
        <is>
          <t>Ather Energy. From TradingView follow list, 2026-08-24. Previously closed swing (+2.0%). Re-following, not re-entered. No fresh analysis yet.</t>
        </is>
      </c>
    </row>
    <row r="28">
      <c r="A28" s="5" t="inlineStr">
        <is>
          <t>NEULANDLAB</t>
        </is>
      </c>
      <c r="B28" s="5" t="inlineStr"/>
      <c r="C28" s="5" t="inlineStr"/>
      <c r="D28" s="2" t="inlineStr">
        <is>
          <t>Neuland Laboratories. From TradingView follow list, 2026-08-24. No analysis yet — pending review.</t>
        </is>
      </c>
    </row>
    <row r="29">
      <c r="A29" s="5" t="inlineStr">
        <is>
          <t>SANDHAR</t>
        </is>
      </c>
      <c r="B29" s="5" t="inlineStr"/>
      <c r="C29" s="5" t="inlineStr"/>
      <c r="D29" s="2" t="inlineStr">
        <is>
          <t>Sandhar Technologies. From TradingView follow list, 2026-08-24. No analysis yet — pending review.</t>
        </is>
      </c>
    </row>
    <row r="30">
      <c r="A30" s="5" t="inlineStr">
        <is>
          <t>CGPOWER</t>
        </is>
      </c>
      <c r="B30" s="5" t="inlineStr"/>
      <c r="C30" s="5" t="inlineStr"/>
      <c r="D30" s="2" t="inlineStr">
        <is>
          <t>CG Power &amp; Industrial Solutions. From TradingView follow list, 2026-08-24. No analysis yet — pending review.</t>
        </is>
      </c>
    </row>
    <row r="31">
      <c r="A31" s="5" t="inlineStr">
        <is>
          <t>KERNEX</t>
        </is>
      </c>
      <c r="B31" s="5" t="inlineStr"/>
      <c r="C31" s="5" t="inlineStr"/>
      <c r="D31" s="2" t="inlineStr">
        <is>
          <t>Name partially visible in screenshot (cut off) — likely Kernex Microsystems, CONFIRM. From TradingView follow list, 2026-08-24. No analysis yet.</t>
        </is>
      </c>
    </row>
    <row r="33">
      <c r="A33" s="3" t="inlineStr">
        <is>
          <t>Closed Trade Journal</t>
        </is>
      </c>
    </row>
    <row r="34">
      <c r="A34" s="4" t="inlineStr">
        <is>
          <t>Ticker</t>
        </is>
      </c>
      <c r="B34" s="4" t="inlineStr">
        <is>
          <t>Result</t>
        </is>
      </c>
      <c r="C34" s="4" t="inlineStr">
        <is>
          <t>Avg Entry</t>
        </is>
      </c>
      <c r="D34" s="4" t="inlineStr">
        <is>
          <t>Avg Exit</t>
        </is>
      </c>
      <c r="E34" s="4" t="inlineStr">
        <is>
          <t>P&amp;L</t>
        </is>
      </c>
      <c r="F34" s="4" t="inlineStr">
        <is>
          <t>P&amp;L %</t>
        </is>
      </c>
      <c r="G34" s="4" t="inlineStr">
        <is>
          <t>Hold Days</t>
        </is>
      </c>
      <c r="H34" s="4" t="inlineStr"/>
      <c r="I34" s="4" t="inlineStr"/>
    </row>
    <row r="35">
      <c r="A35" s="5" t="inlineStr">
        <is>
          <t>LPG</t>
        </is>
      </c>
      <c r="B35" s="5" t="inlineStr">
        <is>
          <t>loss</t>
        </is>
      </c>
      <c r="C35" s="5" t="n">
        <v>49.381</v>
      </c>
      <c r="D35" s="5" t="n">
        <v>48.21</v>
      </c>
      <c r="E35" s="5" t="inlineStr">
        <is>
          <t>$-8</t>
        </is>
      </c>
      <c r="F35" s="23" t="n">
        <v>-2.37</v>
      </c>
      <c r="G35" s="5" t="n">
        <v>0</v>
      </c>
    </row>
    <row r="36">
      <c r="A36" s="5" t="inlineStr">
        <is>
          <t>SNDK</t>
        </is>
      </c>
      <c r="B36" s="5" t="inlineStr">
        <is>
          <t>profit</t>
        </is>
      </c>
      <c r="C36" s="5" t="n">
        <v>903.13</v>
      </c>
      <c r="D36" s="5" t="n">
        <v>1250.83</v>
      </c>
      <c r="E36" s="5" t="inlineStr">
        <is>
          <t>$113</t>
        </is>
      </c>
      <c r="F36" s="21" t="n">
        <v>37.7</v>
      </c>
      <c r="G36" s="5" t="n">
        <v>35</v>
      </c>
    </row>
    <row r="37">
      <c r="A37" s="5" t="inlineStr">
        <is>
          <t>BSE.NS</t>
        </is>
      </c>
      <c r="B37" s="5" t="inlineStr">
        <is>
          <t>profit</t>
        </is>
      </c>
      <c r="C37" s="5" t="n">
        <v>3415.5</v>
      </c>
      <c r="D37" s="5" t="n">
        <v>3994.53</v>
      </c>
      <c r="E37" s="5" t="inlineStr">
        <is>
          <t>₹4,632</t>
        </is>
      </c>
      <c r="F37" s="21" t="n">
        <v>17</v>
      </c>
      <c r="G37" s="5" t="n">
        <v>48</v>
      </c>
    </row>
    <row r="38">
      <c r="A38" s="5" t="inlineStr">
        <is>
          <t>KRN</t>
        </is>
      </c>
      <c r="B38" s="5" t="inlineStr">
        <is>
          <t>loss</t>
        </is>
      </c>
      <c r="C38" s="5" t="n">
        <v>1310</v>
      </c>
      <c r="D38" s="5" t="n">
        <v>1197.27</v>
      </c>
      <c r="E38" s="5" t="inlineStr">
        <is>
          <t>₹-2,480</t>
        </is>
      </c>
      <c r="F38" s="23" t="n">
        <v>-8.6</v>
      </c>
      <c r="G38" s="5" t="n">
        <v>9</v>
      </c>
    </row>
    <row r="39">
      <c r="A39" s="5" t="inlineStr">
        <is>
          <t>CPRX</t>
        </is>
      </c>
      <c r="B39" s="5" t="inlineStr">
        <is>
          <t>profit</t>
        </is>
      </c>
      <c r="C39" s="5" t="n">
        <v>28.03</v>
      </c>
      <c r="D39" s="5" t="n">
        <v>31.14</v>
      </c>
      <c r="E39" s="5" t="inlineStr">
        <is>
          <t>$21</t>
        </is>
      </c>
      <c r="F39" s="21" t="n">
        <v>10.4</v>
      </c>
      <c r="G39" s="5" t="n">
        <v>14</v>
      </c>
    </row>
    <row r="40">
      <c r="A40" s="5" t="inlineStr">
        <is>
          <t>ATHERENERG</t>
        </is>
      </c>
      <c r="B40" s="5" t="inlineStr">
        <is>
          <t>profit</t>
        </is>
      </c>
      <c r="C40" s="5" t="n">
        <v>960.4</v>
      </c>
      <c r="D40" s="5" t="n">
        <v>979.5</v>
      </c>
      <c r="E40" s="5" t="inlineStr">
        <is>
          <t>₹134</t>
        </is>
      </c>
      <c r="F40" s="21" t="n">
        <v>2</v>
      </c>
      <c r="G40" s="5" t="n">
        <v>37</v>
      </c>
    </row>
    <row r="41">
      <c r="A41" s="5" t="inlineStr">
        <is>
          <t>LRCX</t>
        </is>
      </c>
      <c r="B41" s="5" t="inlineStr">
        <is>
          <t>scratch</t>
        </is>
      </c>
      <c r="C41" s="5" t="n">
        <v>346.09</v>
      </c>
      <c r="D41" s="5" t="n">
        <v>346</v>
      </c>
      <c r="E41" s="5" t="inlineStr">
        <is>
          <t>$-0</t>
        </is>
      </c>
      <c r="F41" s="23" t="n">
        <v>-0.03</v>
      </c>
      <c r="G41" s="5" t="n">
        <v>27</v>
      </c>
    </row>
    <row r="42">
      <c r="A42" s="5" t="inlineStr">
        <is>
          <t>DATAPATTNS</t>
        </is>
      </c>
      <c r="B42" s="5" t="inlineStr">
        <is>
          <t>loss</t>
        </is>
      </c>
      <c r="C42" s="5" t="n">
        <v>4805</v>
      </c>
      <c r="D42" s="5" t="n">
        <v>4400</v>
      </c>
      <c r="E42" s="5" t="inlineStr">
        <is>
          <t>₹-4,050</t>
        </is>
      </c>
      <c r="F42" s="23" t="n">
        <v>-8.4</v>
      </c>
      <c r="G42" s="5" t="n"/>
    </row>
  </sheetData>
  <mergeCells count="27">
    <mergeCell ref="A7:I7"/>
    <mergeCell ref="D11:I11"/>
    <mergeCell ref="D27:I27"/>
    <mergeCell ref="D13:I13"/>
    <mergeCell ref="D17:I17"/>
    <mergeCell ref="D16:I16"/>
    <mergeCell ref="A33:I33"/>
    <mergeCell ref="D28:I28"/>
    <mergeCell ref="D18:I18"/>
    <mergeCell ref="D9:I9"/>
    <mergeCell ref="D12:I12"/>
    <mergeCell ref="A4:I4"/>
    <mergeCell ref="D30:I30"/>
    <mergeCell ref="D25:I25"/>
    <mergeCell ref="D15:I15"/>
    <mergeCell ref="D24:I24"/>
    <mergeCell ref="D14:I14"/>
    <mergeCell ref="D29:I29"/>
    <mergeCell ref="D23:I23"/>
    <mergeCell ref="D20:I20"/>
    <mergeCell ref="D26:I26"/>
    <mergeCell ref="D19:I19"/>
    <mergeCell ref="D10:I10"/>
    <mergeCell ref="D22:I22"/>
    <mergeCell ref="D31:I31"/>
    <mergeCell ref="A1:I1"/>
    <mergeCell ref="D21:I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LPG</t>
        </is>
      </c>
      <c r="B3" s="5" t="inlineStr">
        <is>
          <t>USD</t>
        </is>
      </c>
      <c r="C3" s="5" t="inlineStr">
        <is>
          <t>loss</t>
        </is>
      </c>
      <c r="D3" s="5" t="inlineStr">
        <is>
          <t>2026-08-19</t>
        </is>
      </c>
      <c r="E3" s="5" t="inlineStr">
        <is>
          <t>2026-08-19</t>
        </is>
      </c>
      <c r="F3" s="5" t="n">
        <v>7</v>
      </c>
      <c r="G3" s="13" t="n">
        <v>49.381</v>
      </c>
      <c r="H3" s="13" t="n">
        <v>48.21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SNDK</t>
        </is>
      </c>
      <c r="B4" s="5" t="inlineStr">
        <is>
          <t>USD</t>
        </is>
      </c>
      <c r="C4" s="5" t="inlineStr">
        <is>
          <t>profit</t>
        </is>
      </c>
      <c r="D4" s="5" t="inlineStr">
        <is>
          <t>2026-04-13</t>
        </is>
      </c>
      <c r="E4" s="5" t="inlineStr">
        <is>
          <t>2026-05-18</t>
        </is>
      </c>
      <c r="F4" s="5" t="n">
        <v>0.331205</v>
      </c>
      <c r="G4" s="13" t="n">
        <v>903.13</v>
      </c>
      <c r="H4" s="13" t="n">
        <v>1250.83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BSE.NS</t>
        </is>
      </c>
      <c r="B5" s="5" t="inlineStr">
        <is>
          <t>INR</t>
        </is>
      </c>
      <c r="C5" s="5" t="inlineStr">
        <is>
          <t>profit</t>
        </is>
      </c>
      <c r="D5" s="5" t="inlineStr">
        <is>
          <t>2026-04-15</t>
        </is>
      </c>
      <c r="E5" s="5" t="inlineStr">
        <is>
          <t>2026-06-02</t>
        </is>
      </c>
      <c r="F5" s="5" t="n">
        <v>8</v>
      </c>
      <c r="G5" s="13" t="n">
        <v>3415.5</v>
      </c>
      <c r="H5" s="13" t="n">
        <v>3994.53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KRN</t>
        </is>
      </c>
      <c r="B6" s="5" t="inlineStr">
        <is>
          <t>INR</t>
        </is>
      </c>
      <c r="C6" s="5" t="inlineStr">
        <is>
          <t>loss</t>
        </is>
      </c>
      <c r="D6" s="5" t="inlineStr">
        <is>
          <t>2026-04-27</t>
        </is>
      </c>
      <c r="E6" s="5" t="inlineStr">
        <is>
          <t>2026-05-06</t>
        </is>
      </c>
      <c r="F6" s="5" t="n">
        <v>22</v>
      </c>
      <c r="G6" s="13" t="n">
        <v>1310</v>
      </c>
      <c r="H6" s="13" t="n">
        <v>1197.27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CPRX</t>
        </is>
      </c>
      <c r="B7" s="5" t="inlineStr">
        <is>
          <t>USD</t>
        </is>
      </c>
      <c r="C7" s="5" t="inlineStr">
        <is>
          <t>profit</t>
        </is>
      </c>
      <c r="D7" s="5" t="inlineStr">
        <is>
          <t>2026-05-01</t>
        </is>
      </c>
      <c r="E7" s="5" t="inlineStr">
        <is>
          <t>2026-05-15</t>
        </is>
      </c>
      <c r="F7" s="5" t="n">
        <v>7.178445</v>
      </c>
      <c r="G7" s="13" t="n">
        <v>28.03</v>
      </c>
      <c r="H7" s="13" t="n">
        <v>31.14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ATHERENERG</t>
        </is>
      </c>
      <c r="B8" s="5" t="inlineStr">
        <is>
          <t>INR</t>
        </is>
      </c>
      <c r="C8" s="5" t="inlineStr">
        <is>
          <t>profit</t>
        </is>
      </c>
      <c r="D8" s="5" t="inlineStr">
        <is>
          <t>2026-04-28</t>
        </is>
      </c>
      <c r="E8" s="5" t="inlineStr">
        <is>
          <t>2026-06-04</t>
        </is>
      </c>
      <c r="F8" s="5" t="n">
        <v>7</v>
      </c>
      <c r="G8" s="13" t="n">
        <v>960.4</v>
      </c>
      <c r="H8" s="13" t="n">
        <v>979.5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LRCX</t>
        </is>
      </c>
      <c r="B9" s="5" t="inlineStr">
        <is>
          <t>USD</t>
        </is>
      </c>
      <c r="C9" s="5" t="inlineStr">
        <is>
          <t>scratch</t>
        </is>
      </c>
      <c r="D9" s="5" t="inlineStr">
        <is>
          <t>2026-06-09</t>
        </is>
      </c>
      <c r="E9" s="5" t="inlineStr">
        <is>
          <t>2026-07-06</t>
        </is>
      </c>
      <c r="F9" s="5" t="n">
        <v>2</v>
      </c>
      <c r="G9" s="13" t="n">
        <v>346.09</v>
      </c>
      <c r="H9" s="13" t="n">
        <v>346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inlineStr">
        <is>
          <t>DATAPATTNS</t>
        </is>
      </c>
      <c r="B10" s="5" t="inlineStr">
        <is>
          <t>INR</t>
        </is>
      </c>
      <c r="C10" s="5" t="inlineStr">
        <is>
          <t>loss</t>
        </is>
      </c>
      <c r="D10" s="5" t="inlineStr">
        <is>
          <t>2026-06-16</t>
        </is>
      </c>
      <c r="E10" s="5" t="inlineStr">
        <is>
          <t>2026-06-29</t>
        </is>
      </c>
      <c r="F10" s="5" t="n">
        <v>10</v>
      </c>
      <c r="G10" s="13" t="n">
        <v>4805</v>
      </c>
      <c r="H10" s="13" t="n">
        <v>4400</v>
      </c>
      <c r="I10" s="13" t="n"/>
      <c r="J10" s="13">
        <f>(H10-G10)*F10</f>
        <v/>
      </c>
      <c r="K10" s="25">
        <f>IF(G10&gt;0,(H10-G10)/G10,0)</f>
        <v/>
      </c>
      <c r="L10" s="14">
        <f>IF(AND(ISNUMBER(I10),G10-I10&lt;&gt;0),(H10-G10)/(G10-I10),"")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>
        <f>IF(F20="","",(H20-G20)*F20)</f>
        <v/>
      </c>
      <c r="K20" s="5">
        <f>IF(G20="","",(H20-G20)/G20)</f>
        <v/>
      </c>
      <c r="L20" s="5">
        <f>IF(OR(I20="",G20-I20=0),"",(H20-G20)/(G20-I20))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₹1,165,217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20">
      <c r="A20" s="3" t="inlineStr">
        <is>
          <t>Planned Trades (redeployment of sale proceeds)</t>
        </is>
      </c>
    </row>
    <row r="21">
      <c r="A21" s="2" t="inlineStr">
        <is>
          <t>None yet — ~₹50L expected free after GILLETTE + COLPAL exits. Plan before redeploying.</t>
        </is>
      </c>
    </row>
    <row r="23">
      <c r="A23" s="3" t="inlineStr">
        <is>
          <t>Closed Swing/Growth Journal</t>
        </is>
      </c>
    </row>
    <row r="24">
      <c r="A24" s="4" t="inlineStr">
        <is>
          <t>Ticker</t>
        </is>
      </c>
      <c r="B24" s="4" t="inlineStr">
        <is>
          <t>Result</t>
        </is>
      </c>
      <c r="C24" s="4" t="inlineStr">
        <is>
          <t>Avg Entry</t>
        </is>
      </c>
      <c r="D24" s="4" t="inlineStr">
        <is>
          <t>Avg Exit</t>
        </is>
      </c>
      <c r="E24" s="4" t="inlineStr">
        <is>
          <t>P&amp;L</t>
        </is>
      </c>
      <c r="F24" s="4" t="inlineStr">
        <is>
          <t>P&amp;L %</t>
        </is>
      </c>
      <c r="G24" s="4" t="inlineStr">
        <is>
          <t>R</t>
        </is>
      </c>
      <c r="H24" s="4" t="inlineStr"/>
      <c r="I24" s="4" t="inlineStr"/>
      <c r="J24" s="4" t="inlineStr"/>
    </row>
    <row r="25">
      <c r="A25" s="5" t="inlineStr">
        <is>
          <t>DATAPATTNS</t>
        </is>
      </c>
      <c r="B25" s="5" t="inlineStr">
        <is>
          <t>loss</t>
        </is>
      </c>
      <c r="C25" s="5" t="n">
        <v>4895</v>
      </c>
      <c r="D25" s="5" t="n">
        <v>4650</v>
      </c>
      <c r="E25" s="5" t="inlineStr">
        <is>
          <t>₹-2,695</t>
        </is>
      </c>
      <c r="F25" s="23" t="n">
        <v>-5.01</v>
      </c>
      <c r="G25" s="19" t="n">
        <v>-1</v>
      </c>
    </row>
    <row r="26">
      <c r="A26" s="2" t="inlineStr">
        <is>
          <t>↳ Stopped out at the GTD SL limit price (4,650) — confirmed by user, exact date pending contract note (placeholder '2026-08-2?'). Loss ₹2,695 (-5.01%), landed right at the planned stop distance — clean execution, stop was placed and protected in the same session as entry. Second consecutive loss on this stock (first was June, -8.4%) — same pattern both times: elite RS/chart quality undermined by a real fundamental crack (June: fresh earnings miss; this time: same Q1FY27 miss plus POOR group rank and Medium conviction). Worth treating any future DATAPATTNS setup with extra skepticism regardless of how clean the chart looks.</t>
        </is>
      </c>
    </row>
  </sheetData>
  <mergeCells count="11">
    <mergeCell ref="A1:J1"/>
    <mergeCell ref="A23:J23"/>
    <mergeCell ref="A14:J14"/>
    <mergeCell ref="A17:J17"/>
    <mergeCell ref="A18:J18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2026-08-26T16:42:00Z</dcterms:created>
  <dcterms:modified xsi:type="dcterms:W3CDTF">2026-08-26T16:42:00Z</dcterms:modified>
</cp:coreProperties>
</file>